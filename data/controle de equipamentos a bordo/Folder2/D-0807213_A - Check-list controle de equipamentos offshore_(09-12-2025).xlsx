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2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PDG9-\OneDrive\Área de Trabalho\JOB 155\"/>
    </mc:Choice>
  </mc:AlternateContent>
  <xr:revisionPtr revIDLastSave="30" documentId="11_76F8E0FE604616FF4D1EA205D0ED6F30F52D4EF1" xr6:coauthVersionLast="47" xr6:coauthVersionMax="47" xr10:uidLastSave="{08EECD80-621A-4EB0-9336-018BE598F6CB}"/>
  <workbookProtection workbookAlgorithmName="SHA-512" workbookHashValue="tAmeWT3vW2zUgPasvHo1eUzH3YfVZpPOCxsQqDvAyMyDniiKF5ATANhS/kcsP2R1fRJHeNpGgLjjltI/BjRHpA==" workbookSaltValue="yCVS26x9jAQ+vd046zSa8Q==" workbookSpinCount="100000" lockStructure="1"/>
  <bookViews>
    <workbookView xWindow="0" yWindow="0" windowWidth="23040" windowHeight="8496" tabRatio="786" firstSheet="2" activeTab="2" xr2:uid="{00000000-000D-0000-FFFF-FFFF00000000}"/>
  </bookViews>
  <sheets>
    <sheet name="Geral" sheetId="23" r:id="rId1"/>
    <sheet name="Consumíveis" sheetId="22" r:id="rId2"/>
    <sheet name="Controle de Eslingas" sheetId="16" r:id="rId3"/>
    <sheet name="High Torc" sheetId="18" state="hidden" r:id="rId4"/>
    <sheet name="Dropdown" sheetId="19" state="hidden" r:id="rId5"/>
    <sheet name="Plan6" sheetId="20" state="hidden" r:id="rId6"/>
  </sheets>
  <externalReferences>
    <externalReference r:id="rId7"/>
  </externalReferences>
  <definedNames>
    <definedName name="_xlnm._FilterDatabase" localSheetId="2" hidden="1">'Controle de Eslingas'!$A$11:$Y$30</definedName>
    <definedName name="_xlnm._FilterDatabase" localSheetId="0" hidden="1">Geral!$A$11:$X$181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6" l="1"/>
  <c r="M5" i="16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F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sharedStrings.xml><?xml version="1.0" encoding="utf-8"?>
<sst xmlns="http://schemas.openxmlformats.org/spreadsheetml/2006/main" count="1587" uniqueCount="504">
  <si>
    <t>Controle de Equipamentos Offshore</t>
  </si>
  <si>
    <t>Equipe a bordo</t>
  </si>
  <si>
    <t>Sonda:</t>
  </si>
  <si>
    <t>SS-79</t>
  </si>
  <si>
    <t>Poço:</t>
  </si>
  <si>
    <t>7-MRL-102H-RJS</t>
  </si>
  <si>
    <t xml:space="preserve">Supervisor </t>
  </si>
  <si>
    <t>MATHEUS PARENTE</t>
  </si>
  <si>
    <t>WALLACY VALADARES</t>
  </si>
  <si>
    <t>Técnico</t>
  </si>
  <si>
    <t>ÉRICO GONÇALVES</t>
  </si>
  <si>
    <t>JOSIVALDO MENDES</t>
  </si>
  <si>
    <t>Data:</t>
  </si>
  <si>
    <t>Campo:</t>
  </si>
  <si>
    <t>MARLIM</t>
  </si>
  <si>
    <t>LEONARDO PESSANHA</t>
  </si>
  <si>
    <t>BRUNO ANDRADE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</si>
  <si>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</si>
  <si>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</si>
  <si>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</si>
  <si>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</si>
  <si>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</si>
  <si>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</si>
  <si>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</si>
  <si>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</si>
  <si>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</si>
  <si>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</si>
  <si>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</si>
  <si>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</si>
  <si>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</si>
  <si>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</si>
  <si>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</si>
  <si>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</si>
  <si>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</si>
  <si>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</si>
  <si>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</si>
  <si>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</si>
  <si>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STJ-002 / HAD-002 / PPJ-008 / CRO-046</t>
  </si>
  <si>
    <t>STRESS JOINT 43FT+ HAD+MRC+PUP+CRO</t>
  </si>
  <si>
    <t>Riser Deck</t>
  </si>
  <si>
    <t>N/A</t>
  </si>
  <si>
    <t>STRESS JOINT TRANSPORT SKID</t>
  </si>
  <si>
    <t>COLUNA DPR JUNTAS DE 43' FT</t>
  </si>
  <si>
    <t xml:space="preserve">Drill Floor </t>
  </si>
  <si>
    <t>MRC-002</t>
  </si>
  <si>
    <t>MECHANICAL RAPID CONNECTOR</t>
  </si>
  <si>
    <t>NPAE-00961</t>
  </si>
  <si>
    <t>PUP JOINT 8' - XT-MF 69</t>
  </si>
  <si>
    <t>PPJ-017</t>
  </si>
  <si>
    <t xml:space="preserve">PUP JOINT 8' - XT-MF 69 </t>
  </si>
  <si>
    <t>Pipe Deck</t>
  </si>
  <si>
    <t>VENCIDO</t>
  </si>
  <si>
    <t>PPJ-014</t>
  </si>
  <si>
    <t>PUP JOINT 10' - XT-MF 69</t>
  </si>
  <si>
    <t>PPJ-012</t>
  </si>
  <si>
    <t>PPJ-011</t>
  </si>
  <si>
    <t>PPJ-006</t>
  </si>
  <si>
    <t>PUP JOINT 20' - XT-MF 69</t>
  </si>
  <si>
    <t>Em operação</t>
  </si>
  <si>
    <t xml:space="preserve"> SSUB-004</t>
  </si>
  <si>
    <t xml:space="preserve">SAVER SUB BOX X BOX    </t>
  </si>
  <si>
    <t xml:space="preserve"> SSUB-009</t>
  </si>
  <si>
    <t xml:space="preserve">SAVER SUB BOX X PIN  </t>
  </si>
  <si>
    <t xml:space="preserve"> SSUB-014</t>
  </si>
  <si>
    <t>SAVER SUB PIN X PIN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</si>
  <si>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</si>
  <si>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</si>
  <si>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</si>
  <si>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</si>
  <si>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</si>
  <si>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</si>
  <si>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</si>
  <si>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ADAPTER HUB 11” X FLANGE 11” 5X1</t>
  </si>
  <si>
    <t>ADAPTER HUB 11” X FLANGE 11” 4X2</t>
  </si>
  <si>
    <t>ADH-020</t>
  </si>
  <si>
    <t>ADAPTER HUB 11” X FLANGE 11” 10K</t>
  </si>
  <si>
    <t>ADH-023</t>
  </si>
  <si>
    <t>ADAPTER HUB 11” X FLANGE 13 5/8” 5X1</t>
  </si>
  <si>
    <t>Moon Pool</t>
  </si>
  <si>
    <t>HUB ADAPTER TRANSPORT SKID</t>
  </si>
  <si>
    <t>CROSSOVER'S</t>
  </si>
  <si>
    <t>CRO-002</t>
  </si>
  <si>
    <t xml:space="preserve">CROSSOVER DPR X 4 ½” IF </t>
  </si>
  <si>
    <t>CRO-008</t>
  </si>
  <si>
    <t xml:space="preserve">CROSSOVER DPR X 6 5/8” VAM DPR SR  </t>
  </si>
  <si>
    <t>CRO-018</t>
  </si>
  <si>
    <t xml:space="preserve">CROSSOVER DPR X 6 5/8” VAM DPR HP  </t>
  </si>
  <si>
    <t>CRO-026</t>
  </si>
  <si>
    <t xml:space="preserve">CROSSOVER DPR X 6 5/8” FH  </t>
  </si>
  <si>
    <t>CRO-062</t>
  </si>
  <si>
    <t>XO DPR XT-MF69 X 6 5/8" - FH x CAIXA</t>
  </si>
  <si>
    <t>CROSSOVER STUB ACME PIN X XT-MF69 BOX</t>
  </si>
  <si>
    <t>CROSSOVER STUB ACME PIN X XT-MF69 PIN</t>
  </si>
  <si>
    <t>CRO-064</t>
  </si>
  <si>
    <t>CROSSOVER DPR X SWIVEL 6.3/4'' STUB ACME</t>
  </si>
  <si>
    <t>DPR CROSSOVER TRANSPORT BASKET</t>
  </si>
  <si>
    <t>SFT UPPER CROSSOVER 8 ¼” STUB ACME X 8 ¼” ACME BOWEN</t>
  </si>
  <si>
    <t>SFTUC-015</t>
  </si>
  <si>
    <t>SFT UPPER CROSSOVER 8 ¼” STUB ACME X 4 7/8” STUB ACME</t>
  </si>
  <si>
    <t>SFTUC-009</t>
  </si>
  <si>
    <t>SFT UPPER CROSSOVER 8 ¼” STUB ACME X 9” OTIS</t>
  </si>
  <si>
    <t>PIT-013</t>
  </si>
  <si>
    <t>SFT UPPER  CROSSOVER TEST PIN 8 ¼” STUB ACME</t>
  </si>
  <si>
    <t>SFT</t>
  </si>
  <si>
    <t>SFT-004</t>
  </si>
  <si>
    <t>SURFACE FLOW TREE</t>
  </si>
  <si>
    <t>SWJ-003</t>
  </si>
  <si>
    <t>SWIVEL JOINT</t>
  </si>
  <si>
    <t>SURFACE FLOW TREE TRANSPORT SKID</t>
  </si>
  <si>
    <t>CFP-002</t>
  </si>
  <si>
    <t>FLEXIBLE FLOW LINE PIPE ASSEMBLY</t>
  </si>
  <si>
    <t>FLEXIBLE FLOW LINE PIPE TRANSPORT BASKET</t>
  </si>
  <si>
    <t>TSB-011</t>
  </si>
  <si>
    <t>SWIVEL LOWER TEST BOX 6.3/4'' STUB ACME</t>
  </si>
  <si>
    <t>SSUB-023</t>
  </si>
  <si>
    <t>SAVER SUB SWIVEL</t>
  </si>
  <si>
    <t>NDAE-04439</t>
  </si>
  <si>
    <t>TUBO 43' SFT</t>
  </si>
  <si>
    <t>CWJ-001</t>
  </si>
  <si>
    <t>CASED WEAR JOINT</t>
  </si>
  <si>
    <t>CARRETÉIS</t>
  </si>
  <si>
    <t>R-179</t>
  </si>
  <si>
    <t>OPEN SEA REELER</t>
  </si>
  <si>
    <t>U-300</t>
  </si>
  <si>
    <t>OPEN SEA UMBILICAL 38W 2000M</t>
  </si>
  <si>
    <t>PROTETOR DO CONECTOR ELÉTRICO ODI DO UEH</t>
  </si>
  <si>
    <t>R-181</t>
  </si>
  <si>
    <t>TUBING HANGER REELER</t>
  </si>
  <si>
    <t>U-038</t>
  </si>
  <si>
    <t>TUBING HANGER UMBILICAL 13W+HCR 2000M</t>
  </si>
  <si>
    <t>R-175</t>
  </si>
  <si>
    <t>HCR ANNULUS CIRCULATION REELER 2000M</t>
  </si>
  <si>
    <t>U-067</t>
  </si>
  <si>
    <t>HCR ANNULUS CIRCULATION UMBILICAL  2000M X 1.1/4”</t>
  </si>
  <si>
    <t>HYDRAULIC ADAPTER FOR 2 HCR CONNECTION - ASSEMBLY</t>
  </si>
  <si>
    <t>LUBRICATOR VALVE CONTROL REELER</t>
  </si>
  <si>
    <t>LUBRICATOR VALVE CONTROL UMBILICAL</t>
  </si>
  <si>
    <t>HPU / CONTROL CABIN</t>
  </si>
  <si>
    <t>HPU-240</t>
  </si>
  <si>
    <t>HPU W/ INTEGRATED OPEN SEA CONTROL PANEL</t>
  </si>
  <si>
    <t>HPU-241</t>
  </si>
  <si>
    <t>ELECTRICAL JUMPER HPU X RIG - POWER</t>
  </si>
  <si>
    <t>ELECTRICAL JUMPER HPU X INCLINOMETER - SIGNAL</t>
  </si>
  <si>
    <t>ELECTRICAL JUMPER HPU X OS REELER - SIGNAL</t>
  </si>
  <si>
    <t>ELECTRICAL JUMPER HPU X TH REELER - SIGNAL</t>
  </si>
  <si>
    <t>Durante a operação na cabine de controle, aproximadamente às 14h17, foi registrada a perda da alimentação elétrica principal, momento em que a UPS assumiu a carga.</t>
  </si>
  <si>
    <t>WV-035</t>
  </si>
  <si>
    <t>CONTROL CABIN</t>
  </si>
  <si>
    <t>WV-034</t>
  </si>
  <si>
    <t>Popa Bombordo</t>
  </si>
  <si>
    <t>O eletrônico da sonda foi acionado para verificar possíveis falhas no fornecimento elétrico. Após inspeção do circuito da sonda, não foi identificado nenhum ponto de falha.</t>
  </si>
  <si>
    <t>ELECTRICAL JUMPER CONTROL CABIN X RIG - POWER</t>
  </si>
  <si>
    <t>Em seguida, foram realizadas medições na entrada de alimentação elétrica da cabine de controle, verificando a presença de energia na entrada e saída do disjuntor de alimentação do painel E-17.</t>
  </si>
  <si>
    <t>ELECTRICAL JUMPER CONTROL CABIN X RCP - POWER</t>
  </si>
  <si>
    <t>Durante a inspeção, foi observado que os disjuntores QM-1, Q6 e Q2, responsáveis pelo sistema de ar-condicionado, estavam desarmados.</t>
  </si>
  <si>
    <t>ELECTRICAL JUMPER CONTROL CABIN X RCP - COM</t>
  </si>
  <si>
    <t>Foi realizada a reinicialização do painel E-17, e a cabine voltou a operar normalmente.</t>
  </si>
  <si>
    <t>ELECTRICAL JUMPER CONTROL CABIN X ESDP - SIGNAL</t>
  </si>
  <si>
    <t>Estamos mantendo monitoramento contínuo do sistema, a fim de identificar qualquer recorrência ou instabilidade relacionada ao ocorrido.</t>
  </si>
  <si>
    <t>ELECTRICAL JUMPER CONTROL CABIN X HPU - POWER</t>
  </si>
  <si>
    <t>ELECTRICAL JUMPER CONTROL CABIN X HPU - COM</t>
  </si>
  <si>
    <t>ELECTRICAL JUMPER CONTROL CABIN X THCP - POWER</t>
  </si>
  <si>
    <t>ELECTRICAL JUMPER CONTROL CABIN X THCP - COM</t>
  </si>
  <si>
    <t>PNL-016</t>
  </si>
  <si>
    <t>REMOTE CONTROL PANEL – RCP</t>
  </si>
  <si>
    <t>PNL-017</t>
  </si>
  <si>
    <t>Cabin Control</t>
  </si>
  <si>
    <t>PNL-019</t>
  </si>
  <si>
    <t>EMERGENCY SHUTDOWN PANEL – ESDP</t>
  </si>
  <si>
    <t>PNL-020</t>
  </si>
  <si>
    <t>TUBING HANGER CONTROL PANEL</t>
  </si>
  <si>
    <t>JUMPER'S</t>
  </si>
  <si>
    <t>HJ-029</t>
  </si>
  <si>
    <t>JUMPER HYDRAULIC VENTILAÇÃO AX'S</t>
  </si>
  <si>
    <t>Workshop Container</t>
  </si>
  <si>
    <t>HJ-027</t>
  </si>
  <si>
    <t>JUMPER HYDRAULIC HCR 1. 1/4''</t>
  </si>
  <si>
    <t>HJ-003</t>
  </si>
  <si>
    <t>JUMPER HYDRAULIC 7F SFT</t>
  </si>
  <si>
    <t>JUMPER HYDRAULIC HCR 1'' TH</t>
  </si>
  <si>
    <t>HJ-014</t>
  </si>
  <si>
    <t>JUMPER HYDRAULIC 13 F</t>
  </si>
  <si>
    <t>HJ-015</t>
  </si>
  <si>
    <t>HJ-012</t>
  </si>
  <si>
    <t>HJ-013</t>
  </si>
  <si>
    <t>INCLINOMETRO / JUMPER Y</t>
  </si>
  <si>
    <t>SINC-005</t>
  </si>
  <si>
    <t xml:space="preserve">SENSOR INCLINOMETER SUBSEA DUAL </t>
  </si>
  <si>
    <t>EFL-110</t>
  </si>
  <si>
    <t xml:space="preserve">ELECTRICAL JUMPER CONNECTION UMBILICAL X INCLINOMETER </t>
  </si>
  <si>
    <t>INCD-004</t>
  </si>
  <si>
    <t>INCLINOMETER CLAMPING DEVICE  ASSEMBLY</t>
  </si>
  <si>
    <t>ELECTRICAL JUMPER 7W 14M FOR CONNECTION W/ EDP</t>
  </si>
  <si>
    <t>EJ-019</t>
  </si>
  <si>
    <t>ELECTRICAL JUMPER (Y) - OS UMBILICAL x EFL</t>
  </si>
  <si>
    <t>EJY-003</t>
  </si>
  <si>
    <t xml:space="preserve">ELECTRICAL JUMPER SUBSEA  </t>
  </si>
  <si>
    <t>EJ-013</t>
  </si>
  <si>
    <t xml:space="preserve">ELETRICAL JUMPER TRONIC X TRONIC </t>
  </si>
  <si>
    <t>CLAMP'S</t>
  </si>
  <si>
    <t>CLP-024</t>
  </si>
  <si>
    <t>CLAMPS TO ATTACH OS UMBILICAL TO STANDARD RISER JOINTS 6 5/8”</t>
  </si>
  <si>
    <t>53 MOOM POOL / 37 CONT</t>
  </si>
  <si>
    <t>CLAMPS TO ATTACH OS UMBILICAL TO RIG RISER JOINTS 5”</t>
  </si>
  <si>
    <t>CLP-005 / CLP-013</t>
  </si>
  <si>
    <t>CLAMPS TO ATTACH TH UMBILICAL TO STANDARD RISER JOINTS 6 5/8”</t>
  </si>
  <si>
    <t>CLAMPS TO ATTACH TH UMBILICAL TO RIG RISER JOINTS 5”</t>
  </si>
  <si>
    <t>UMBILICAL CLAMP TRANSPORT BASKET</t>
  </si>
  <si>
    <t>TLCMP-006</t>
  </si>
  <si>
    <t>CLAMP MAKE UP TOOL</t>
  </si>
  <si>
    <t>SHEAVES</t>
  </si>
  <si>
    <t>TDS-170 / TDS-177</t>
  </si>
  <si>
    <t>80° SHEAVE - HCR AND LUBRICATOR VALVE UMBILICAL</t>
  </si>
  <si>
    <t>TDS-178</t>
  </si>
  <si>
    <t>360º MAIN SHEAVE - HCR UMBILICAL</t>
  </si>
  <si>
    <t>TDS-184</t>
  </si>
  <si>
    <t>180º SHEAVE - HCR UMBILICAL</t>
  </si>
  <si>
    <t>TDS-192</t>
  </si>
  <si>
    <t>MAIN SHEAVE - OS MODE UMBILICAL AND TH MODE UMBILICAL</t>
  </si>
  <si>
    <t>TDS-193</t>
  </si>
  <si>
    <t>180º SHEAVE - OS MODE UMBILICAL AND TH MODE UMBILICAL</t>
  </si>
  <si>
    <t>TDS-202</t>
  </si>
  <si>
    <t>80° SHEAVE - OS MODE UMBILICAL AND TH MODE UMBILICAL</t>
  </si>
  <si>
    <t>TDS 199</t>
  </si>
  <si>
    <t>TDS-205</t>
  </si>
  <si>
    <t xml:space="preserve">180º SHEAVE - CASED WEAR JOINT + DISPOSITIVO </t>
  </si>
  <si>
    <t>MANOBRA</t>
  </si>
  <si>
    <t>MAIN ELEVATOR</t>
  </si>
  <si>
    <t>8264 / 8264</t>
  </si>
  <si>
    <t>MAIN ELEVATOR (EKRON)  / BOMBA  HIDR DE ACIONAMENTO</t>
  </si>
  <si>
    <t>H-304</t>
  </si>
  <si>
    <t>MAIN ELEVATOR TRANSPORT SKID</t>
  </si>
  <si>
    <t>TF-009</t>
  </si>
  <si>
    <t>MAIN ELEVATOR MOUNTING FRAME</t>
  </si>
  <si>
    <t>SBR-007</t>
  </si>
  <si>
    <t>UPPER SPREADER BAR</t>
  </si>
  <si>
    <t>UPPER SPREADER BAR TRANSPORT SKID</t>
  </si>
  <si>
    <t>LB-002</t>
  </si>
  <si>
    <t>LONG BAILS 18M FOR SFT ELEVATOR</t>
  </si>
  <si>
    <t>LONG BAILS TRANSPORT BASKET</t>
  </si>
  <si>
    <t>RS-001</t>
  </si>
  <si>
    <t>RISER SPIDER</t>
  </si>
  <si>
    <t>RISER SPIDER CONTROL PANEL</t>
  </si>
  <si>
    <t>FG1-01</t>
  </si>
  <si>
    <t>RISER SPIDER HPU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</si>
  <si>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</si>
  <si>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</si>
  <si>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</si>
  <si>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</si>
  <si>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</si>
  <si>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</si>
  <si>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</si>
  <si>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</si>
  <si>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</si>
  <si>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STG-011</t>
  </si>
  <si>
    <t>DPR STABBING GUIDE</t>
  </si>
  <si>
    <t>MEL-003</t>
  </si>
  <si>
    <t>MANUAL ELEVATOR</t>
  </si>
  <si>
    <t>THRS TRANSPORT BASKET</t>
  </si>
  <si>
    <t>DOUBLE DOOR ELEVATOR</t>
  </si>
  <si>
    <t>DOUBLE DOOR ELEVATOR TRANSPORT BASKET</t>
  </si>
  <si>
    <t>WC-003</t>
  </si>
  <si>
    <t>WORKSHOP CONTAINER</t>
  </si>
  <si>
    <t>DIVERSOS</t>
  </si>
  <si>
    <t>NBP-005</t>
  </si>
  <si>
    <t xml:space="preserve">BOOSTER PUMP </t>
  </si>
  <si>
    <t>FLYING LEAD TRANSPORT FRAME</t>
  </si>
  <si>
    <t>JA-558</t>
  </si>
  <si>
    <t xml:space="preserve">CESTA DE CROSSOVERS </t>
  </si>
  <si>
    <t>AMF-1152</t>
  </si>
  <si>
    <t>CONTAINER BEND RESTRICTOR 180º TH</t>
  </si>
  <si>
    <t>DNVU 2004709</t>
  </si>
  <si>
    <t>CONTAINER JUMPERS, ELEVADOR MANUAL, LINGADAS E PROTETORES</t>
  </si>
  <si>
    <t>JA-557</t>
  </si>
  <si>
    <t>CESTA DE JUMPER</t>
  </si>
  <si>
    <t>CBT-685</t>
  </si>
  <si>
    <t>CESTA DE HW</t>
  </si>
  <si>
    <t>PIPT-002/008/001</t>
  </si>
  <si>
    <t>PIPE STAND</t>
  </si>
  <si>
    <t>DJ-060 / DJ-064 / DJ-066</t>
  </si>
  <si>
    <t>060 GEOLOGIA / 064 RISER DECK / 066 CONT DNVU</t>
  </si>
  <si>
    <t>EJ-017</t>
  </si>
  <si>
    <t>JUMPER PDG</t>
  </si>
  <si>
    <t xml:space="preserve">ELEVATOR AUXILIARY </t>
  </si>
  <si>
    <t>20211227-01/02</t>
  </si>
  <si>
    <t>ESLINGA 2 PERNAS</t>
  </si>
  <si>
    <t>JMJ 100</t>
  </si>
  <si>
    <t>DISTORCEDOR (SWIVEL)</t>
  </si>
  <si>
    <t>TSB-0010</t>
  </si>
  <si>
    <t xml:space="preserve">TEST BOX XT-MF69 - CAP 25 TON DPR 5K </t>
  </si>
  <si>
    <t xml:space="preserve">CRO-068  </t>
  </si>
  <si>
    <t xml:space="preserve">XO DPR XT-MF69 X FH PINO   </t>
  </si>
  <si>
    <t>CRO-019</t>
  </si>
  <si>
    <t xml:space="preserve">XO 6 5/8” VAM DPR HP (Caixa) x 6 5/8” XT-MF69 (Pino) </t>
  </si>
  <si>
    <t>CRO-053</t>
  </si>
  <si>
    <t>XO DPR XT-MF69 X 6 5/8" - VAM HP PINO x CAIXA</t>
  </si>
  <si>
    <t>PIT-002</t>
  </si>
  <si>
    <t xml:space="preserve">TEST PIN XT-MF69 - CAP 25 TON DPR 5K </t>
  </si>
  <si>
    <t>SSF-002</t>
  </si>
  <si>
    <t>PÓRTICO DE SUSTENTAÇÃO DA SHEAVE</t>
  </si>
  <si>
    <t>INSERTO 7 1/8"</t>
  </si>
  <si>
    <t>R-16-13-23283</t>
  </si>
  <si>
    <t xml:space="preserve">SKID N2 </t>
  </si>
  <si>
    <t xml:space="preserve">           R-16-21-35396
</t>
  </si>
  <si>
    <t>MANGUEIRAS DE AR</t>
  </si>
  <si>
    <t>RESTRITOR DE CURVATURA 180º TH PV-8351-01</t>
  </si>
  <si>
    <t>ESLINGA 6 PERNAS SFT</t>
  </si>
  <si>
    <t>ESLINGA COFLEX</t>
  </si>
  <si>
    <t>ESLINGA RISER SPIDER</t>
  </si>
  <si>
    <t xml:space="preserve">GABARITO 4.7/8" </t>
  </si>
  <si>
    <t xml:space="preserve">GABARITO 5.09'' </t>
  </si>
  <si>
    <t>512261A / 512262A</t>
  </si>
  <si>
    <t>ABRAÇADEIRAS TUBO SFT</t>
  </si>
  <si>
    <t>Data  teste de carga</t>
  </si>
  <si>
    <t>QNT</t>
  </si>
  <si>
    <t>DESCRIÇÃO</t>
  </si>
  <si>
    <t>APLICAÇÃO</t>
  </si>
  <si>
    <t>LOCALIZAÇÃO</t>
  </si>
  <si>
    <t>OBSERVAÇÃO</t>
  </si>
  <si>
    <t>LUBRAX CALCIUM GR2</t>
  </si>
  <si>
    <t>CONTAINER H-304</t>
  </si>
  <si>
    <t>20 KG</t>
  </si>
  <si>
    <t>LUBRAX CALCIUM ECO 2</t>
  </si>
  <si>
    <t>MOBILGEAR SHC XMP320 SINTHETIC WIND TURBINE</t>
  </si>
  <si>
    <t>Óleo Hidráulico HF 101N (Enerpac)</t>
  </si>
  <si>
    <t>Óleo Hidráulico HF 100N (Enerpac)</t>
  </si>
  <si>
    <t>TELLUS S2 M 46</t>
  </si>
  <si>
    <t>OK</t>
  </si>
  <si>
    <t>VG 10</t>
  </si>
  <si>
    <t>LUBRIFIL</t>
  </si>
  <si>
    <t xml:space="preserve">5 LITROS </t>
  </si>
  <si>
    <t>KOPR-KOTE</t>
  </si>
  <si>
    <t>Rosca XTMF-69</t>
  </si>
  <si>
    <t>DRILL FLOOR</t>
  </si>
  <si>
    <t xml:space="preserve">10 KG </t>
  </si>
  <si>
    <t>b</t>
  </si>
  <si>
    <t>PETRONAS TUTELA MR-LM (D472E123)</t>
  </si>
  <si>
    <t>MOBILGEAR 600XP 10</t>
  </si>
  <si>
    <t>TELLUS S2 V  68</t>
  </si>
  <si>
    <t>10 LITROS</t>
  </si>
  <si>
    <t xml:space="preserve">GREASE KOPR-KTE OILFIELD TOOL JOINT AND DRILL COLLAR 				
</t>
  </si>
  <si>
    <t xml:space="preserve">LUBRIFICANT MOBILGEAR 600XP 100 </t>
  </si>
  <si>
    <t xml:space="preserve">18 LITROS </t>
  </si>
  <si>
    <t>GREASE RENOLITE EP2 12,5KG TRANSLUCENT BROWN</t>
  </si>
  <si>
    <t xml:space="preserve">18 KG </t>
  </si>
  <si>
    <t>LUBRIFICANTE TUFLUBE ALLWATHER  (Rocol)</t>
  </si>
  <si>
    <t xml:space="preserve">4 KG </t>
  </si>
  <si>
    <t>OIL GEAR MOBIL SHC DRUM (XMP320)</t>
  </si>
  <si>
    <t>15 LITROS</t>
  </si>
  <si>
    <t>GREASE WEAR PROTECTION LUBRAX CALCIUM GR</t>
  </si>
  <si>
    <t>Sonda</t>
  </si>
  <si>
    <t>Poço</t>
  </si>
  <si>
    <t>Data da Inspeção</t>
  </si>
  <si>
    <t>Data</t>
  </si>
  <si>
    <t>Campo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</si>
  <si>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</si>
  <si>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</si>
  <si>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</si>
  <si>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</si>
  <si>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</si>
  <si>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</si>
  <si>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 xml:space="preserve">  HPU</t>
  </si>
  <si>
    <t>53340-A</t>
  </si>
  <si>
    <t>23/06/2026</t>
  </si>
  <si>
    <t>RISER DECK</t>
  </si>
  <si>
    <t>3120-2</t>
  </si>
  <si>
    <t>MOOM POOL</t>
  </si>
  <si>
    <t>WORK VAN</t>
  </si>
  <si>
    <t>BC-60791</t>
  </si>
  <si>
    <t>26/06/2026</t>
  </si>
  <si>
    <t>AA9807</t>
  </si>
  <si>
    <t>DECK GEOLOGIA</t>
  </si>
  <si>
    <t>CONTAINER OFICINA</t>
  </si>
  <si>
    <t>826-SM</t>
  </si>
  <si>
    <t>CTX-124</t>
  </si>
  <si>
    <t>PIPE DECK</t>
  </si>
  <si>
    <t>HDBU-0142533</t>
  </si>
  <si>
    <t>CONTAINER RISER SPIDER</t>
  </si>
  <si>
    <t>36660/2</t>
  </si>
  <si>
    <t>10DRY14434</t>
  </si>
  <si>
    <t>CONTAINER CLAMPS TH (CLP-005 / CLP-013)</t>
  </si>
  <si>
    <t xml:space="preserve"> 10DRY14434</t>
  </si>
  <si>
    <t>23/09/2026</t>
  </si>
  <si>
    <t>BC-26333</t>
  </si>
  <si>
    <t>R-16-21-35396</t>
  </si>
  <si>
    <t>523257-1</t>
  </si>
  <si>
    <t>ABZ/5232570001</t>
  </si>
  <si>
    <r>
      <t xml:space="preserve">CESTA DE CROSSOVERS </t>
    </r>
    <r>
      <rPr>
        <b/>
        <sz val="12"/>
        <color rgb="FFFF0000"/>
        <rFont val="Calibri"/>
        <family val="2"/>
        <scheme val="minor"/>
      </rPr>
      <t>(SEM ACESSO)</t>
    </r>
  </si>
  <si>
    <t>SOS12A/00218</t>
  </si>
  <si>
    <t>ESLINGA COFLEXIP</t>
  </si>
  <si>
    <t xml:space="preserve">L6-54501 </t>
  </si>
  <si>
    <t>24/09/2026</t>
  </si>
  <si>
    <t>27280-02</t>
  </si>
  <si>
    <t>CONTAINER COM USB, SHEAVE E QUÍMICOS</t>
  </si>
  <si>
    <t>SOS20A/00077</t>
  </si>
  <si>
    <t>10DRY14466</t>
  </si>
  <si>
    <t>CONTEINER DE CLAMPS OS (CLP-024)</t>
  </si>
  <si>
    <t>OS-189965-4</t>
  </si>
  <si>
    <t>TH REELER</t>
  </si>
  <si>
    <t>188542-2</t>
  </si>
  <si>
    <t>1081068-1-4</t>
  </si>
  <si>
    <t>20211227-01-02</t>
  </si>
  <si>
    <t>SES06A-00007</t>
  </si>
  <si>
    <t>28/05/2026</t>
  </si>
  <si>
    <t>512262A/512261A</t>
  </si>
  <si>
    <r>
      <t>ABRAÇADEIRAS TUBO SFT</t>
    </r>
    <r>
      <rPr>
        <b/>
        <sz val="12"/>
        <color rgb="FFFF0000"/>
        <rFont val="Calibri"/>
        <family val="2"/>
        <scheme val="minor"/>
      </rPr>
      <t xml:space="preserve"> (SEM PLAQUETA)</t>
    </r>
  </si>
  <si>
    <t>JMJ-100</t>
  </si>
  <si>
    <t>DISTORCEDOR</t>
  </si>
  <si>
    <r>
      <t xml:space="preserve">CESTA DE JUMPER </t>
    </r>
    <r>
      <rPr>
        <b/>
        <sz val="12"/>
        <color rgb="FFFF0000"/>
        <rFont val="Calibri"/>
        <family val="2"/>
        <scheme val="minor"/>
      </rPr>
      <t>(SEM ACESSO)</t>
    </r>
  </si>
  <si>
    <t>SOS12A-00544</t>
  </si>
  <si>
    <t>19/06/2026</t>
  </si>
  <si>
    <t>ESLINGA DE TUBO DPR</t>
  </si>
  <si>
    <t>BC-927</t>
  </si>
  <si>
    <t>CONTAINER DNVU-2004709</t>
  </si>
  <si>
    <t>BC-246442</t>
  </si>
  <si>
    <t>BC-246444</t>
  </si>
  <si>
    <t>BC-931</t>
  </si>
  <si>
    <t>BC-937</t>
  </si>
  <si>
    <t>BC-925</t>
  </si>
  <si>
    <t>5/15/2026</t>
  </si>
  <si>
    <t>BC-920</t>
  </si>
  <si>
    <t>BC-926</t>
  </si>
  <si>
    <t>BC-929</t>
  </si>
  <si>
    <t>BC-923</t>
  </si>
  <si>
    <t>BC-924</t>
  </si>
  <si>
    <t>BC-914</t>
  </si>
  <si>
    <t>BC-930</t>
  </si>
  <si>
    <t>BC-51</t>
  </si>
  <si>
    <t>BC-2416564</t>
  </si>
  <si>
    <t>BC-107</t>
  </si>
  <si>
    <t>BC-935</t>
  </si>
  <si>
    <t>BC-916</t>
  </si>
  <si>
    <t>BC-2416435</t>
  </si>
  <si>
    <t>BC-2416430</t>
  </si>
  <si>
    <t>BC-31</t>
  </si>
  <si>
    <t>BC2616566</t>
  </si>
  <si>
    <t>3/15/2026</t>
  </si>
  <si>
    <t>BC-03</t>
  </si>
  <si>
    <t>BC-36</t>
  </si>
  <si>
    <t>BC-34</t>
  </si>
  <si>
    <t>BC-33</t>
  </si>
  <si>
    <t>BC-29</t>
  </si>
  <si>
    <t>BC-943</t>
  </si>
  <si>
    <t>BC-941</t>
  </si>
  <si>
    <t>Opções de localização na sonda para Equipamentos</t>
  </si>
  <si>
    <t>Opções de localização na sonda para Eslingas</t>
  </si>
  <si>
    <t>Bombordo</t>
  </si>
  <si>
    <t>Booster pump</t>
  </si>
  <si>
    <t>Boreste</t>
  </si>
  <si>
    <t>Caixa de sobressalentes</t>
  </si>
  <si>
    <t>Cabine Sondador</t>
  </si>
  <si>
    <t>Control cabin</t>
  </si>
  <si>
    <t>Deck de transferência</t>
  </si>
  <si>
    <t>Double door elevator transport basket</t>
  </si>
  <si>
    <t>DPR crossover transport basket</t>
  </si>
  <si>
    <t>Dpr crossover transport basket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</si>
  <si>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</si>
  <si>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</si>
  <si>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</si>
  <si>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</si>
  <si>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</si>
  <si>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</si>
  <si>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Main Deck</t>
  </si>
  <si>
    <t>Lubricator valve control reeler</t>
  </si>
  <si>
    <t>Main elevator transport skid</t>
  </si>
  <si>
    <t>Main elevator mounting frame</t>
  </si>
  <si>
    <t>Popa</t>
  </si>
  <si>
    <t>Open sea reeler</t>
  </si>
  <si>
    <t>Popa Boreste</t>
  </si>
  <si>
    <t>Power tong transport skid</t>
  </si>
  <si>
    <t>Proa</t>
  </si>
  <si>
    <t>Proa Bombordo</t>
  </si>
  <si>
    <t>Proa Boreste</t>
  </si>
  <si>
    <t>Reeler</t>
  </si>
  <si>
    <t>Riser accessories transport basket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</si>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</sst>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dd/mm/yy;@"/>
  </numFmts>
  <fonts count="2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24242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9" fillId="0" borderId="24" xfId="0" applyFont="1" applyBorder="1" applyAlignment="1" applyProtection="1">
      <alignment vertical="center"/>
      <protection hidden="1"/>
    </xf>
    <xf numFmtId="0" fontId="4" fillId="0" borderId="24" xfId="0" applyFont="1" applyBorder="1" applyProtection="1">
      <protection hidden="1"/>
    </xf>
    <xf numFmtId="0" fontId="4" fillId="0" borderId="24" xfId="0" applyFont="1" applyBorder="1" applyAlignment="1" applyProtection="1">
      <alignment vertical="center"/>
      <protection hidden="1"/>
    </xf>
    <xf numFmtId="0" fontId="4" fillId="0" borderId="16" xfId="0" applyFont="1" applyBorder="1" applyProtection="1">
      <protection hidden="1"/>
    </xf>
    <xf numFmtId="0" fontId="9" fillId="0" borderId="1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0" xfId="0" applyFont="1" applyBorder="1" applyAlignment="1" applyProtection="1">
      <alignment horizontal="center" vertical="top" wrapText="1"/>
      <protection hidden="1"/>
    </xf>
    <xf numFmtId="0" fontId="6" fillId="0" borderId="29" xfId="0" applyFont="1" applyBorder="1" applyAlignment="1" applyProtection="1">
      <alignment horizontal="center" vertical="top" wrapText="1"/>
      <protection hidden="1"/>
    </xf>
    <xf numFmtId="0" fontId="6" fillId="0" borderId="31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4" fontId="0" fillId="0" borderId="15" xfId="0" applyNumberFormat="1" applyBorder="1" applyAlignment="1" applyProtection="1">
      <alignment horizontal="center" vertical="center"/>
      <protection locked="0"/>
    </xf>
    <xf numFmtId="164" fontId="0" fillId="0" borderId="16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4" fontId="0" fillId="0" borderId="24" xfId="0" applyNumberForma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top" wrapText="1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0" fontId="14" fillId="4" borderId="33" xfId="0" applyFont="1" applyFill="1" applyBorder="1" applyAlignment="1" applyProtection="1">
      <alignment horizontal="center" vertical="center"/>
      <protection locked="0"/>
    </xf>
    <xf numFmtId="14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19" fillId="4" borderId="33" xfId="0" applyFont="1" applyFill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 hidden="1"/>
    </xf>
    <xf numFmtId="0" fontId="6" fillId="0" borderId="34" xfId="0" applyFont="1" applyBorder="1" applyAlignment="1" applyProtection="1">
      <alignment horizontal="center" vertical="center"/>
      <protection locked="0" hidden="1"/>
    </xf>
    <xf numFmtId="0" fontId="6" fillId="0" borderId="33" xfId="0" applyFont="1" applyBorder="1" applyAlignment="1" applyProtection="1">
      <alignment horizontal="center" vertical="center"/>
      <protection hidden="1"/>
    </xf>
    <xf numFmtId="14" fontId="6" fillId="0" borderId="33" xfId="0" applyNumberFormat="1" applyFont="1" applyBorder="1" applyAlignment="1" applyProtection="1">
      <alignment horizontal="center" vertical="center"/>
      <protection locked="0"/>
    </xf>
    <xf numFmtId="165" fontId="6" fillId="0" borderId="33" xfId="0" applyNumberFormat="1" applyFont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hidden="1"/>
    </xf>
    <xf numFmtId="0" fontId="0" fillId="0" borderId="35" xfId="0" applyBorder="1" applyProtection="1">
      <protection hidden="1"/>
    </xf>
    <xf numFmtId="0" fontId="6" fillId="0" borderId="40" xfId="0" applyFont="1" applyBorder="1" applyAlignment="1" applyProtection="1">
      <alignment horizontal="center" vertical="center"/>
      <protection hidden="1"/>
    </xf>
    <xf numFmtId="14" fontId="6" fillId="0" borderId="40" xfId="0" applyNumberFormat="1" applyFont="1" applyBorder="1" applyAlignment="1" applyProtection="1">
      <alignment horizontal="center" vertical="center"/>
      <protection locked="0"/>
    </xf>
    <xf numFmtId="165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hidden="1"/>
    </xf>
    <xf numFmtId="14" fontId="6" fillId="0" borderId="34" xfId="0" applyNumberFormat="1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0" fontId="14" fillId="5" borderId="33" xfId="0" applyFont="1" applyFill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0" fontId="12" fillId="2" borderId="33" xfId="0" applyFont="1" applyFill="1" applyBorder="1" applyAlignment="1" applyProtection="1">
      <alignment horizontal="center" vertical="center"/>
      <protection hidden="1"/>
    </xf>
    <xf numFmtId="164" fontId="6" fillId="0" borderId="33" xfId="0" applyNumberFormat="1" applyFont="1" applyBorder="1" applyAlignment="1" applyProtection="1">
      <alignment horizontal="center" vertical="center" wrapText="1"/>
      <protection locked="0"/>
    </xf>
    <xf numFmtId="16" fontId="6" fillId="0" borderId="33" xfId="0" applyNumberFormat="1" applyFont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164" fontId="6" fillId="4" borderId="33" xfId="0" applyNumberFormat="1" applyFont="1" applyFill="1" applyBorder="1" applyAlignment="1" applyProtection="1">
      <alignment horizontal="center" vertical="center"/>
      <protection locked="0"/>
    </xf>
    <xf numFmtId="164" fontId="6" fillId="4" borderId="33" xfId="0" applyNumberFormat="1" applyFont="1" applyFill="1" applyBorder="1" applyAlignment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  <protection locked="0" hidden="1"/>
    </xf>
    <xf numFmtId="164" fontId="14" fillId="4" borderId="33" xfId="0" applyNumberFormat="1" applyFont="1" applyFill="1" applyBorder="1" applyAlignment="1">
      <alignment horizontal="center" vertical="center"/>
    </xf>
    <xf numFmtId="164" fontId="14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vertical="center"/>
      <protection locked="0"/>
    </xf>
    <xf numFmtId="0" fontId="0" fillId="0" borderId="38" xfId="0" applyBorder="1" applyProtection="1"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2" fillId="2" borderId="39" xfId="0" applyFont="1" applyFill="1" applyBorder="1" applyAlignment="1" applyProtection="1">
      <alignment horizontal="center" vertical="center"/>
      <protection hidden="1"/>
    </xf>
    <xf numFmtId="164" fontId="6" fillId="0" borderId="40" xfId="0" applyNumberFormat="1" applyFont="1" applyBorder="1" applyAlignment="1">
      <alignment horizontal="center" vertical="center"/>
    </xf>
    <xf numFmtId="164" fontId="6" fillId="0" borderId="40" xfId="0" applyNumberFormat="1" applyFont="1" applyBorder="1" applyAlignment="1" applyProtection="1">
      <alignment horizontal="center" vertical="center" wrapText="1"/>
      <protection locked="0"/>
    </xf>
    <xf numFmtId="0" fontId="6" fillId="0" borderId="40" xfId="0" applyFont="1" applyBorder="1" applyAlignment="1" applyProtection="1">
      <alignment horizontal="center" vertical="center"/>
      <protection locked="0" hidden="1"/>
    </xf>
    <xf numFmtId="16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42" xfId="0" applyFont="1" applyBorder="1" applyAlignment="1" applyProtection="1">
      <alignment horizontal="center" vertical="center"/>
      <protection locked="0"/>
    </xf>
    <xf numFmtId="0" fontId="12" fillId="2" borderId="36" xfId="0" applyFont="1" applyFill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164" fontId="6" fillId="0" borderId="34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164" fontId="6" fillId="0" borderId="40" xfId="0" applyNumberFormat="1" applyFont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/>
    </xf>
    <xf numFmtId="164" fontId="14" fillId="4" borderId="40" xfId="0" applyNumberFormat="1" applyFont="1" applyFill="1" applyBorder="1" applyAlignment="1">
      <alignment horizontal="center" vertical="center"/>
    </xf>
    <xf numFmtId="164" fontId="6" fillId="4" borderId="40" xfId="0" applyNumberFormat="1" applyFont="1" applyFill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 hidden="1"/>
    </xf>
    <xf numFmtId="3" fontId="6" fillId="0" borderId="40" xfId="0" applyNumberFormat="1" applyFont="1" applyBorder="1" applyAlignment="1" applyProtection="1">
      <alignment horizontal="center" vertical="center"/>
      <protection locked="0"/>
    </xf>
    <xf numFmtId="164" fontId="14" fillId="0" borderId="34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38" xfId="0" applyBorder="1"/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Protection="1">
      <protection hidden="1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4" fillId="0" borderId="33" xfId="0" applyFont="1" applyBorder="1" applyAlignment="1" applyProtection="1">
      <alignment horizontal="center" vertical="center"/>
      <protection locked="0"/>
    </xf>
    <xf numFmtId="0" fontId="18" fillId="4" borderId="33" xfId="0" applyFont="1" applyFill="1" applyBorder="1" applyProtection="1">
      <protection hidden="1"/>
    </xf>
    <xf numFmtId="0" fontId="18" fillId="0" borderId="33" xfId="0" applyFont="1" applyBorder="1" applyProtection="1">
      <protection hidden="1"/>
    </xf>
    <xf numFmtId="0" fontId="19" fillId="0" borderId="33" xfId="0" applyFont="1" applyBorder="1" applyProtection="1">
      <protection hidden="1"/>
    </xf>
    <xf numFmtId="14" fontId="14" fillId="4" borderId="33" xfId="0" applyNumberFormat="1" applyFont="1" applyFill="1" applyBorder="1" applyAlignment="1" applyProtection="1">
      <alignment horizontal="center" vertical="center" wrapText="1"/>
      <protection locked="0"/>
    </xf>
    <xf numFmtId="14" fontId="14" fillId="4" borderId="33" xfId="0" applyNumberFormat="1" applyFont="1" applyFill="1" applyBorder="1" applyAlignment="1" applyProtection="1">
      <alignment horizontal="center" vertical="center"/>
      <protection locked="0"/>
    </xf>
    <xf numFmtId="14" fontId="18" fillId="7" borderId="33" xfId="0" applyNumberFormat="1" applyFont="1" applyFill="1" applyBorder="1" applyAlignment="1">
      <alignment horizontal="center" vertical="center"/>
    </xf>
    <xf numFmtId="0" fontId="18" fillId="7" borderId="33" xfId="0" applyFont="1" applyFill="1" applyBorder="1" applyAlignment="1">
      <alignment horizontal="center" vertical="center"/>
    </xf>
    <xf numFmtId="14" fontId="18" fillId="8" borderId="33" xfId="0" applyNumberFormat="1" applyFont="1" applyFill="1" applyBorder="1" applyAlignment="1">
      <alignment horizontal="center" vertical="center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 wrapText="1"/>
      <protection locked="0"/>
    </xf>
    <xf numFmtId="0" fontId="19" fillId="0" borderId="40" xfId="0" applyFont="1" applyBorder="1" applyAlignment="1" applyProtection="1">
      <alignment horizontal="center" vertical="center"/>
      <protection locked="0"/>
    </xf>
    <xf numFmtId="0" fontId="21" fillId="0" borderId="40" xfId="0" applyFont="1" applyBorder="1" applyAlignment="1" applyProtection="1">
      <alignment horizontal="center" vertical="center" wrapText="1"/>
      <protection hidden="1"/>
    </xf>
    <xf numFmtId="0" fontId="19" fillId="0" borderId="34" xfId="0" applyFont="1" applyBorder="1" applyAlignment="1" applyProtection="1">
      <alignment horizontal="center" vertical="center"/>
      <protection locked="0"/>
    </xf>
    <xf numFmtId="3" fontId="19" fillId="0" borderId="34" xfId="0" applyNumberFormat="1" applyFont="1" applyBorder="1" applyAlignment="1" applyProtection="1">
      <alignment horizontal="center" vertical="center" wrapText="1"/>
      <protection locked="0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6" fillId="0" borderId="41" xfId="0" applyFont="1" applyBorder="1" applyAlignment="1" applyProtection="1">
      <alignment horizontal="center" vertical="center"/>
      <protection locked="0"/>
    </xf>
    <xf numFmtId="164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center"/>
      <protection locked="0" hidden="1"/>
    </xf>
    <xf numFmtId="0" fontId="6" fillId="0" borderId="41" xfId="0" applyFont="1" applyBorder="1" applyAlignment="1" applyProtection="1">
      <alignment horizontal="center" vertical="center"/>
      <protection hidden="1"/>
    </xf>
    <xf numFmtId="14" fontId="6" fillId="0" borderId="41" xfId="0" applyNumberFormat="1" applyFont="1" applyBorder="1" applyAlignment="1" applyProtection="1">
      <alignment horizontal="center" vertical="center"/>
      <protection locked="0"/>
    </xf>
    <xf numFmtId="165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/>
      <protection hidden="1"/>
    </xf>
    <xf numFmtId="0" fontId="6" fillId="4" borderId="41" xfId="0" applyFont="1" applyFill="1" applyBorder="1" applyAlignment="1" applyProtection="1">
      <alignment horizontal="center" vertical="center"/>
      <protection locked="0"/>
    </xf>
    <xf numFmtId="164" fontId="6" fillId="4" borderId="41" xfId="0" applyNumberFormat="1" applyFont="1" applyFill="1" applyBorder="1" applyAlignment="1">
      <alignment horizontal="center" vertical="center"/>
    </xf>
    <xf numFmtId="164" fontId="6" fillId="4" borderId="41" xfId="0" applyNumberFormat="1" applyFont="1" applyFill="1" applyBorder="1" applyAlignment="1" applyProtection="1">
      <alignment horizontal="center" vertical="center"/>
      <protection locked="0"/>
    </xf>
    <xf numFmtId="0" fontId="6" fillId="4" borderId="41" xfId="0" applyFont="1" applyFill="1" applyBorder="1" applyAlignment="1" applyProtection="1">
      <alignment horizontal="center" vertical="center"/>
      <protection locked="0" hidden="1"/>
    </xf>
    <xf numFmtId="3" fontId="6" fillId="0" borderId="41" xfId="0" applyNumberFormat="1" applyFont="1" applyBorder="1" applyAlignment="1" applyProtection="1">
      <alignment horizontal="center" vertical="center"/>
      <protection locked="0"/>
    </xf>
    <xf numFmtId="14" fontId="14" fillId="5" borderId="3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 hidden="1"/>
    </xf>
    <xf numFmtId="0" fontId="6" fillId="0" borderId="32" xfId="0" applyFont="1" applyBorder="1" applyAlignment="1" applyProtection="1">
      <alignment horizontal="center" vertical="center"/>
      <protection hidden="1"/>
    </xf>
    <xf numFmtId="14" fontId="6" fillId="0" borderId="32" xfId="0" applyNumberFormat="1" applyFont="1" applyBorder="1" applyAlignment="1" applyProtection="1">
      <alignment horizontal="center" vertical="center"/>
      <protection locked="0"/>
    </xf>
    <xf numFmtId="165" fontId="6" fillId="0" borderId="32" xfId="0" applyNumberFormat="1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14" fillId="6" borderId="33" xfId="0" applyFont="1" applyFill="1" applyBorder="1" applyAlignment="1">
      <alignment horizontal="center" vertical="center"/>
    </xf>
    <xf numFmtId="0" fontId="19" fillId="0" borderId="41" xfId="0" applyFont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 applyProtection="1">
      <alignment horizontal="left" vertical="top" wrapText="1"/>
      <protection locked="0"/>
    </xf>
    <xf numFmtId="0" fontId="23" fillId="0" borderId="0" xfId="0" applyFont="1" applyAlignment="1">
      <alignment horizontal="center" vertical="center"/>
    </xf>
    <xf numFmtId="164" fontId="14" fillId="0" borderId="33" xfId="0" applyNumberFormat="1" applyFont="1" applyBorder="1" applyAlignment="1" applyProtection="1">
      <alignment horizontal="center" vertical="center"/>
      <protection locked="0"/>
    </xf>
    <xf numFmtId="0" fontId="23" fillId="0" borderId="33" xfId="0" applyFont="1" applyBorder="1" applyAlignment="1">
      <alignment horizontal="center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left" vertical="center" wrapText="1"/>
      <protection locked="0"/>
    </xf>
    <xf numFmtId="0" fontId="6" fillId="0" borderId="33" xfId="0" applyFont="1" applyBorder="1" applyAlignment="1" applyProtection="1">
      <alignment horizontal="left" vertical="center" wrapText="1"/>
      <protection locked="0"/>
    </xf>
    <xf numFmtId="0" fontId="6" fillId="0" borderId="34" xfId="0" applyFont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16" fillId="2" borderId="17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8" xfId="0" applyFont="1" applyBorder="1" applyAlignment="1" applyProtection="1">
      <alignment horizontal="center" vertical="top" wrapText="1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9" xfId="0" applyFont="1" applyBorder="1" applyAlignment="1" applyProtection="1">
      <alignment horizontal="center" vertical="top" wrapText="1"/>
      <protection locked="0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3" fillId="0" borderId="40" xfId="0" applyFont="1" applyBorder="1" applyAlignment="1" applyProtection="1">
      <alignment horizontal="center" vertical="center" textRotation="90"/>
      <protection hidden="1"/>
    </xf>
    <xf numFmtId="0" fontId="13" fillId="0" borderId="33" xfId="0" applyFont="1" applyBorder="1" applyAlignment="1" applyProtection="1">
      <alignment horizontal="center" vertical="center" textRotation="90"/>
      <protection hidden="1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0" fontId="6" fillId="0" borderId="40" xfId="0" applyFont="1" applyBorder="1" applyAlignment="1" applyProtection="1">
      <alignment horizontal="left" vertical="center"/>
      <protection hidden="1"/>
    </xf>
    <xf numFmtId="0" fontId="6" fillId="0" borderId="40" xfId="0" applyFont="1" applyBorder="1" applyAlignment="1" applyProtection="1">
      <alignment horizontal="center" vertical="center"/>
      <protection locked="0"/>
    </xf>
    <xf numFmtId="0" fontId="13" fillId="0" borderId="33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4" borderId="33" xfId="0" applyFont="1" applyFill="1" applyBorder="1" applyAlignment="1" applyProtection="1">
      <alignment horizontal="left" vertical="center"/>
      <protection hidden="1"/>
    </xf>
    <xf numFmtId="0" fontId="13" fillId="0" borderId="34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14" fillId="4" borderId="40" xfId="0" applyFont="1" applyFill="1" applyBorder="1" applyAlignment="1" applyProtection="1">
      <alignment horizontal="left" vertical="center"/>
      <protection hidden="1"/>
    </xf>
    <xf numFmtId="0" fontId="14" fillId="4" borderId="33" xfId="0" applyFont="1" applyFill="1" applyBorder="1" applyAlignment="1" applyProtection="1">
      <alignment horizontal="left" vertical="center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15" fillId="0" borderId="33" xfId="0" applyFont="1" applyBorder="1" applyAlignment="1" applyProtection="1">
      <alignment horizontal="left" vertical="center"/>
      <protection hidden="1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13" fillId="0" borderId="40" xfId="0" applyFont="1" applyBorder="1" applyAlignment="1" applyProtection="1">
      <alignment horizontal="left" vertical="center"/>
      <protection hidden="1"/>
    </xf>
    <xf numFmtId="0" fontId="13" fillId="0" borderId="32" xfId="0" applyFont="1" applyBorder="1" applyAlignment="1" applyProtection="1">
      <alignment horizontal="center" vertical="center" textRotation="90"/>
      <protection hidden="1"/>
    </xf>
    <xf numFmtId="0" fontId="13" fillId="0" borderId="33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 wrapText="1"/>
      <protection locked="0"/>
    </xf>
    <xf numFmtId="0" fontId="6" fillId="0" borderId="25" xfId="0" applyFont="1" applyBorder="1" applyAlignment="1" applyProtection="1">
      <alignment horizontal="left" vertical="center" wrapText="1"/>
      <protection locked="0"/>
    </xf>
    <xf numFmtId="0" fontId="6" fillId="0" borderId="35" xfId="0" applyFont="1" applyBorder="1" applyAlignment="1" applyProtection="1">
      <alignment horizontal="left" vertical="center" wrapText="1"/>
      <protection locked="0"/>
    </xf>
    <xf numFmtId="0" fontId="13" fillId="0" borderId="40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 wrapText="1"/>
      <protection hidden="1"/>
    </xf>
    <xf numFmtId="0" fontId="13" fillId="0" borderId="34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/>
      <protection locked="0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0" fontId="6" fillId="0" borderId="33" xfId="0" applyFont="1" applyBorder="1" applyAlignment="1" applyProtection="1">
      <alignment horizontal="left" vertical="center"/>
      <protection locked="0"/>
    </xf>
    <xf numFmtId="0" fontId="6" fillId="0" borderId="34" xfId="0" applyFont="1" applyBorder="1" applyAlignment="1" applyProtection="1">
      <alignment horizontal="left" vertical="center" wrapText="1"/>
      <protection locked="0"/>
    </xf>
    <xf numFmtId="0" fontId="13" fillId="0" borderId="38" xfId="0" applyFont="1" applyBorder="1" applyAlignment="1" applyProtection="1">
      <alignment horizontal="left" vertical="center"/>
      <protection locked="0"/>
    </xf>
    <xf numFmtId="0" fontId="13" fillId="0" borderId="25" xfId="0" applyFont="1" applyBorder="1" applyAlignment="1" applyProtection="1">
      <alignment horizontal="left" vertical="center"/>
      <protection locked="0"/>
    </xf>
    <xf numFmtId="0" fontId="13" fillId="0" borderId="35" xfId="0" applyFont="1" applyBorder="1" applyAlignment="1" applyProtection="1">
      <alignment horizontal="left" vertical="center"/>
      <protection locked="0"/>
    </xf>
    <xf numFmtId="0" fontId="6" fillId="0" borderId="38" xfId="0" applyFont="1" applyBorder="1" applyAlignment="1" applyProtection="1">
      <alignment horizontal="left" vertical="center"/>
      <protection hidden="1"/>
    </xf>
    <xf numFmtId="0" fontId="13" fillId="0" borderId="25" xfId="0" applyFont="1" applyBorder="1" applyAlignment="1" applyProtection="1">
      <alignment horizontal="left" vertical="center"/>
      <protection hidden="1"/>
    </xf>
    <xf numFmtId="0" fontId="13" fillId="0" borderId="35" xfId="0" applyFont="1" applyBorder="1" applyAlignment="1" applyProtection="1">
      <alignment horizontal="left" vertical="center"/>
      <protection hidden="1"/>
    </xf>
    <xf numFmtId="0" fontId="6" fillId="0" borderId="25" xfId="0" applyFont="1" applyBorder="1" applyAlignment="1" applyProtection="1">
      <alignment horizontal="left" vertical="center"/>
      <protection hidden="1"/>
    </xf>
    <xf numFmtId="0" fontId="6" fillId="0" borderId="35" xfId="0" applyFont="1" applyBorder="1" applyAlignment="1" applyProtection="1">
      <alignment horizontal="left" vertical="center"/>
      <protection hidden="1"/>
    </xf>
    <xf numFmtId="0" fontId="6" fillId="4" borderId="38" xfId="0" applyFont="1" applyFill="1" applyBorder="1" applyAlignment="1" applyProtection="1">
      <alignment horizontal="left" vertical="center"/>
      <protection hidden="1"/>
    </xf>
    <xf numFmtId="0" fontId="6" fillId="4" borderId="25" xfId="0" applyFont="1" applyFill="1" applyBorder="1" applyAlignment="1" applyProtection="1">
      <alignment horizontal="left" vertical="center"/>
      <protection hidden="1"/>
    </xf>
    <xf numFmtId="0" fontId="6" fillId="4" borderId="35" xfId="0" applyFont="1" applyFill="1" applyBorder="1" applyAlignment="1" applyProtection="1">
      <alignment horizontal="left" vertical="center"/>
      <protection hidden="1"/>
    </xf>
    <xf numFmtId="164" fontId="0" fillId="0" borderId="22" xfId="0" applyNumberFormat="1" applyBorder="1" applyAlignment="1" applyProtection="1">
      <alignment horizontal="center" vertical="center"/>
      <protection locked="0"/>
    </xf>
    <xf numFmtId="164" fontId="0" fillId="0" borderId="28" xfId="0" applyNumberForma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5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top" wrapText="1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top" wrapText="1"/>
      <protection hidden="1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19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20" fillId="0" borderId="22" xfId="0" applyNumberFormat="1" applyFont="1" applyBorder="1" applyAlignment="1" applyProtection="1">
      <alignment horizontal="center" vertical="center"/>
      <protection locked="0"/>
    </xf>
    <xf numFmtId="164" fontId="20" fillId="0" borderId="25" xfId="0" applyNumberFormat="1" applyFont="1" applyBorder="1" applyAlignment="1" applyProtection="1">
      <alignment horizontal="center" vertical="center"/>
      <protection locked="0"/>
    </xf>
    <xf numFmtId="164" fontId="20" fillId="0" borderId="37" xfId="0" applyNumberFormat="1" applyFon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 applyProtection="1">
      <alignment horizontal="center" vertical="center" wrapText="1"/>
      <protection locked="0"/>
    </xf>
    <xf numFmtId="164" fontId="6" fillId="0" borderId="28" xfId="0" applyNumberFormat="1" applyFont="1" applyBorder="1" applyAlignment="1" applyProtection="1">
      <alignment horizontal="center" vertical="center" wrapText="1"/>
      <protection locked="0"/>
    </xf>
    <xf numFmtId="164" fontId="0" fillId="0" borderId="26" xfId="0" applyNumberFormat="1" applyBorder="1" applyAlignment="1" applyProtection="1">
      <alignment horizontal="center" vertical="center"/>
      <protection locked="0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6" fillId="4" borderId="35" xfId="0" applyFont="1" applyFill="1" applyBorder="1" applyAlignment="1" applyProtection="1">
      <alignment horizontal="center" vertical="center"/>
      <protection locked="0"/>
    </xf>
    <xf numFmtId="0" fontId="14" fillId="6" borderId="38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14" fillId="6" borderId="35" xfId="0" applyFont="1" applyFill="1" applyBorder="1" applyAlignment="1">
      <alignment horizontal="center" vertical="center"/>
    </xf>
    <xf numFmtId="164" fontId="14" fillId="4" borderId="38" xfId="0" applyNumberFormat="1" applyFont="1" applyFill="1" applyBorder="1" applyAlignment="1" applyProtection="1">
      <alignment horizontal="center" vertical="center"/>
      <protection hidden="1"/>
    </xf>
    <xf numFmtId="164" fontId="14" fillId="4" borderId="25" xfId="0" applyNumberFormat="1" applyFont="1" applyFill="1" applyBorder="1" applyAlignment="1" applyProtection="1">
      <alignment horizontal="center" vertical="center"/>
      <protection hidden="1"/>
    </xf>
    <xf numFmtId="164" fontId="14" fillId="4" borderId="35" xfId="0" applyNumberFormat="1" applyFont="1" applyFill="1" applyBorder="1" applyAlignment="1" applyProtection="1">
      <alignment horizontal="center" vertical="center"/>
      <protection hidden="1"/>
    </xf>
    <xf numFmtId="0" fontId="6" fillId="0" borderId="38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/>
      <protection hidden="1"/>
    </xf>
    <xf numFmtId="0" fontId="6" fillId="0" borderId="35" xfId="0" applyFont="1" applyBorder="1" applyAlignment="1" applyProtection="1">
      <alignment horizontal="center" vertical="center"/>
      <protection hidden="1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0" fontId="16" fillId="2" borderId="35" xfId="0" applyFont="1" applyFill="1" applyBorder="1" applyAlignment="1" applyProtection="1">
      <alignment horizontal="center" vertical="center"/>
      <protection hidden="1"/>
    </xf>
    <xf numFmtId="164" fontId="14" fillId="4" borderId="33" xfId="0" applyNumberFormat="1" applyFont="1" applyFill="1" applyBorder="1" applyAlignment="1" applyProtection="1">
      <alignment horizontal="center" vertical="center"/>
      <protection hidden="1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82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1</xdr:col>
      <xdr:colOff>53929</xdr:colOff>
      <xdr:row>6</xdr:row>
      <xdr:rowOff>136288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7D42C7F-B6FD-4F73-A757-4A5AF6BA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04" y="283926"/>
          <a:ext cx="2615280" cy="709612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2</xdr:row>
      <xdr:rowOff>190501</xdr:rowOff>
    </xdr:from>
    <xdr:to>
      <xdr:col>4</xdr:col>
      <xdr:colOff>845243</xdr:colOff>
      <xdr:row>6</xdr:row>
      <xdr:rowOff>68517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05F0DE0-95ED-4966-A788-FEB0FA304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108858" y="326572"/>
          <a:ext cx="2679031" cy="840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107787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7284</xdr:colOff>
      <xdr:row>0</xdr:row>
      <xdr:rowOff>1681</xdr:rowOff>
    </xdr:from>
    <xdr:to>
      <xdr:col>3</xdr:col>
      <xdr:colOff>1097455</xdr:colOff>
      <xdr:row>5</xdr:row>
      <xdr:rowOff>2162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64434" y="1681"/>
          <a:ext cx="2598296" cy="8005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G9-\Downloads\D-0807213_A%20-%20Check-list%20controle%20de%20equipamentos%20offshore%2007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Consumíveis"/>
      <sheetName val="Controle de Eslingas"/>
      <sheetName val="High Torc"/>
      <sheetName val="Dropdown"/>
      <sheetName val="Plan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7"/>
  <sheetViews>
    <sheetView showGridLines="0" topLeftCell="B1" zoomScaleNormal="100" workbookViewId="0">
      <pane xSplit="2" ySplit="11" topLeftCell="D126" activePane="bottomRight" state="frozen"/>
      <selection pane="bottomRight" activeCell="G7" sqref="G7:I7"/>
      <selection pane="bottomLeft"/>
      <selection pane="topRight"/>
    </sheetView>
  </sheetViews>
  <sheetFormatPr defaultColWidth="0" defaultRowHeight="14.65" customHeight="1" zeroHeight="1"/>
  <cols>
    <col min="1" max="1" width="0.7109375" style="1" customWidth="1"/>
    <col min="2" max="2" width="9.28515625" style="3" bestFit="1" customWidth="1"/>
    <col min="3" max="4" width="8.7109375" style="3" customWidth="1"/>
    <col min="5" max="5" width="13.7109375" style="3" customWidth="1"/>
    <col min="6" max="6" width="26.42578125" style="3" customWidth="1"/>
    <col min="7" max="9" width="13.7109375" style="3" customWidth="1"/>
    <col min="10" max="10" width="27.28515625" style="3" customWidth="1"/>
    <col min="11" max="11" width="27" style="3" bestFit="1" customWidth="1"/>
    <col min="12" max="12" width="25.42578125" style="3" customWidth="1"/>
    <col min="13" max="13" width="13.7109375" style="3" customWidth="1"/>
    <col min="14" max="14" width="17.7109375" style="3" customWidth="1"/>
    <col min="15" max="15" width="13.7109375" style="3" customWidth="1"/>
    <col min="16" max="16" width="0.7109375" style="3" customWidth="1"/>
    <col min="17" max="18" width="12.28515625" style="3" customWidth="1"/>
    <col min="19" max="19" width="15.7109375" style="3" customWidth="1"/>
    <col min="20" max="20" width="15.5703125" style="3" customWidth="1"/>
    <col min="21" max="22" width="12.28515625" style="1" customWidth="1"/>
    <col min="23" max="23" width="26.7109375" style="1" customWidth="1"/>
    <col min="24" max="24" width="0.7109375" style="1" customWidth="1"/>
    <col min="25" max="16384" width="9.28515625" style="1" hidden="1"/>
  </cols>
  <sheetData>
    <row r="1" spans="1:24" ht="5.0999999999999996" customHeight="1" thickBot="1"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</row>
    <row r="2" spans="1:24" ht="5.0999999999999996" customHeight="1" thickBot="1">
      <c r="B2" s="188"/>
      <c r="C2" s="189"/>
      <c r="D2" s="189"/>
      <c r="E2" s="189"/>
      <c r="F2" s="193"/>
      <c r="G2" s="193"/>
      <c r="H2" s="193"/>
      <c r="I2" s="193"/>
      <c r="J2" s="21"/>
      <c r="K2" s="21"/>
      <c r="L2" s="189"/>
      <c r="M2" s="189"/>
      <c r="N2" s="189"/>
      <c r="O2" s="189"/>
      <c r="P2" s="6"/>
      <c r="Q2" s="19"/>
      <c r="R2" s="19"/>
      <c r="S2" s="19"/>
      <c r="T2" s="19"/>
      <c r="U2" s="19"/>
      <c r="V2" s="19"/>
      <c r="W2" s="20"/>
    </row>
    <row r="3" spans="1:24" ht="30" customHeight="1" thickBot="1">
      <c r="B3" s="190"/>
      <c r="C3" s="187"/>
      <c r="D3" s="187"/>
      <c r="E3" s="187"/>
      <c r="F3" s="194" t="s">
        <v>0</v>
      </c>
      <c r="G3" s="195"/>
      <c r="H3" s="195"/>
      <c r="I3" s="195"/>
      <c r="J3" s="195"/>
      <c r="K3" s="195"/>
      <c r="L3" s="195"/>
      <c r="M3" s="195"/>
      <c r="N3" s="195"/>
      <c r="O3" s="196"/>
      <c r="Q3" s="194" t="s">
        <v>1</v>
      </c>
      <c r="R3" s="195"/>
      <c r="S3" s="195"/>
      <c r="T3" s="195"/>
      <c r="U3" s="195"/>
      <c r="V3" s="195"/>
      <c r="W3" s="196"/>
    </row>
    <row r="4" spans="1:24" ht="5.0999999999999996" customHeight="1" thickBot="1">
      <c r="B4" s="190"/>
      <c r="C4" s="187"/>
      <c r="D4" s="187"/>
      <c r="E4" s="187"/>
      <c r="F4" s="193"/>
      <c r="G4" s="193"/>
      <c r="H4" s="193"/>
      <c r="I4" s="193"/>
      <c r="J4" s="18"/>
      <c r="K4" s="18"/>
      <c r="L4" s="187"/>
      <c r="M4" s="187"/>
      <c r="N4" s="187"/>
      <c r="O4" s="187"/>
      <c r="Q4" s="207"/>
      <c r="R4" s="208"/>
      <c r="S4" s="208"/>
      <c r="T4" s="208"/>
      <c r="U4" s="208"/>
      <c r="V4" s="208"/>
      <c r="W4" s="209"/>
    </row>
    <row r="5" spans="1:24" ht="20.100000000000001" customHeight="1" thickBot="1">
      <c r="B5" s="190"/>
      <c r="C5" s="187"/>
      <c r="D5" s="187"/>
      <c r="E5" s="187"/>
      <c r="F5" s="55" t="s">
        <v>2</v>
      </c>
      <c r="G5" s="204" t="s">
        <v>3</v>
      </c>
      <c r="H5" s="202"/>
      <c r="I5" s="203"/>
      <c r="J5" s="18"/>
      <c r="K5" s="18"/>
      <c r="L5" s="55" t="s">
        <v>4</v>
      </c>
      <c r="M5" s="204" t="s">
        <v>5</v>
      </c>
      <c r="N5" s="202"/>
      <c r="O5" s="203"/>
      <c r="Q5" s="210" t="s">
        <v>6</v>
      </c>
      <c r="R5" s="211"/>
      <c r="S5" s="212" t="s">
        <v>7</v>
      </c>
      <c r="T5" s="213"/>
      <c r="U5" s="210" t="s">
        <v>6</v>
      </c>
      <c r="V5" s="211"/>
      <c r="W5" s="50" t="s">
        <v>8</v>
      </c>
    </row>
    <row r="6" spans="1:24" ht="20.100000000000001" customHeight="1" thickBot="1">
      <c r="B6" s="190"/>
      <c r="C6" s="187"/>
      <c r="D6" s="187"/>
      <c r="E6" s="187"/>
      <c r="F6" s="56"/>
      <c r="G6" s="57"/>
      <c r="H6" s="57"/>
      <c r="I6" s="58"/>
      <c r="J6" s="18"/>
      <c r="K6" s="18"/>
      <c r="L6" s="57"/>
      <c r="M6" s="57"/>
      <c r="N6" s="57"/>
      <c r="O6" s="58"/>
      <c r="P6" s="4"/>
      <c r="Q6" s="197" t="s">
        <v>9</v>
      </c>
      <c r="R6" s="198"/>
      <c r="S6" s="199" t="s">
        <v>10</v>
      </c>
      <c r="T6" s="200"/>
      <c r="U6" s="197" t="s">
        <v>9</v>
      </c>
      <c r="V6" s="198"/>
      <c r="W6" s="50" t="s">
        <v>11</v>
      </c>
    </row>
    <row r="7" spans="1:24" ht="20.100000000000001" customHeight="1" thickBot="1">
      <c r="B7" s="190"/>
      <c r="C7" s="187"/>
      <c r="D7" s="187"/>
      <c r="E7" s="187"/>
      <c r="F7" s="55" t="s">
        <v>12</v>
      </c>
      <c r="G7" s="201">
        <v>46000</v>
      </c>
      <c r="H7" s="202"/>
      <c r="I7" s="203"/>
      <c r="J7" s="18"/>
      <c r="K7" s="18"/>
      <c r="L7" s="55" t="s">
        <v>13</v>
      </c>
      <c r="M7" s="204" t="s">
        <v>14</v>
      </c>
      <c r="N7" s="202"/>
      <c r="O7" s="203"/>
      <c r="P7" s="4"/>
      <c r="Q7" s="197" t="s">
        <v>9</v>
      </c>
      <c r="R7" s="198"/>
      <c r="S7" s="205" t="s">
        <v>15</v>
      </c>
      <c r="T7" s="206"/>
      <c r="U7" s="197" t="s">
        <v>9</v>
      </c>
      <c r="V7" s="198"/>
      <c r="W7" s="50" t="s">
        <v>16</v>
      </c>
    </row>
    <row r="8" spans="1:24" ht="5.0999999999999996" customHeight="1" thickBot="1">
      <c r="B8" s="191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214"/>
    </row>
    <row r="9" spans="1:24" s="5" customFormat="1" ht="25.15" customHeight="1" thickBot="1">
      <c r="B9" s="194" t="s">
        <v>17</v>
      </c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6"/>
    </row>
    <row r="10" spans="1:24" ht="5.0999999999999996" customHeight="1">
      <c r="B10" s="190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</row>
    <row r="11" spans="1:24" s="85" customFormat="1" ht="30" customHeight="1" thickBot="1">
      <c r="B11" s="112" t="s">
        <v>18</v>
      </c>
      <c r="C11" s="112" t="s">
        <v>19</v>
      </c>
      <c r="D11" s="112" t="s">
        <v>20</v>
      </c>
      <c r="E11" s="112" t="s">
        <v>21</v>
      </c>
      <c r="F11" s="112" t="s">
        <v>22</v>
      </c>
      <c r="G11" s="215" t="s">
        <v>23</v>
      </c>
      <c r="H11" s="215"/>
      <c r="I11" s="215"/>
      <c r="J11" s="215"/>
      <c r="K11" s="112" t="s">
        <v>24</v>
      </c>
      <c r="L11" s="112" t="s">
        <v>25</v>
      </c>
      <c r="M11" s="112" t="s">
        <v>26</v>
      </c>
      <c r="N11" s="112" t="s">
        <v>27</v>
      </c>
      <c r="O11" s="215" t="s">
        <v>28</v>
      </c>
      <c r="P11" s="215"/>
      <c r="Q11" s="112" t="s">
        <v>29</v>
      </c>
      <c r="R11" s="112" t="s">
        <v>30</v>
      </c>
      <c r="S11" s="112" t="s">
        <v>31</v>
      </c>
      <c r="T11" s="112" t="s">
        <v>32</v>
      </c>
      <c r="U11" s="112" t="s">
        <v>33</v>
      </c>
      <c r="V11" s="112" t="s">
        <v>34</v>
      </c>
      <c r="W11" s="112" t="s">
        <v>35</v>
      </c>
    </row>
    <row r="12" spans="1:24" s="85" customFormat="1" ht="45.75" customHeight="1">
      <c r="A12" s="111"/>
      <c r="B12" s="113">
        <v>1</v>
      </c>
      <c r="C12" s="216" t="s">
        <v>36</v>
      </c>
      <c r="D12" s="95">
        <v>1</v>
      </c>
      <c r="E12" s="114">
        <v>495094</v>
      </c>
      <c r="F12" s="115" t="s">
        <v>37</v>
      </c>
      <c r="G12" s="219" t="s">
        <v>38</v>
      </c>
      <c r="H12" s="219"/>
      <c r="I12" s="219"/>
      <c r="J12" s="219"/>
      <c r="K12" s="116" t="s">
        <v>39</v>
      </c>
      <c r="L12" s="95"/>
      <c r="M12" s="95"/>
      <c r="N12" s="87"/>
      <c r="O12" s="220"/>
      <c r="P12" s="220"/>
      <c r="Q12" s="95"/>
      <c r="R12" s="117"/>
      <c r="S12" s="95"/>
      <c r="T12" s="89"/>
      <c r="U12" s="95"/>
      <c r="V12" s="89"/>
      <c r="W12" s="118"/>
      <c r="X12" s="86"/>
    </row>
    <row r="13" spans="1:24" s="85" customFormat="1" ht="25.15" customHeight="1" thickBot="1">
      <c r="A13" s="111"/>
      <c r="B13" s="119">
        <v>2</v>
      </c>
      <c r="C13" s="217"/>
      <c r="D13" s="96">
        <v>0</v>
      </c>
      <c r="E13" s="79" t="s">
        <v>40</v>
      </c>
      <c r="F13" s="102" t="s">
        <v>40</v>
      </c>
      <c r="G13" s="221" t="s">
        <v>41</v>
      </c>
      <c r="H13" s="221"/>
      <c r="I13" s="221"/>
      <c r="J13" s="221"/>
      <c r="K13" s="102" t="s">
        <v>40</v>
      </c>
      <c r="L13" s="96"/>
      <c r="M13" s="96"/>
      <c r="N13" s="82"/>
      <c r="O13" s="183"/>
      <c r="P13" s="183"/>
      <c r="Q13" s="96"/>
      <c r="R13" s="101"/>
      <c r="S13" s="96"/>
      <c r="T13" s="84"/>
      <c r="U13" s="96"/>
      <c r="V13" s="84"/>
      <c r="W13" s="120"/>
      <c r="X13" s="86"/>
    </row>
    <row r="14" spans="1:24" s="85" customFormat="1" ht="25.15" customHeight="1">
      <c r="A14" s="111"/>
      <c r="B14" s="113">
        <v>3</v>
      </c>
      <c r="C14" s="217"/>
      <c r="D14" s="96">
        <v>110</v>
      </c>
      <c r="E14" s="79">
        <v>495075</v>
      </c>
      <c r="F14" s="102" t="s">
        <v>40</v>
      </c>
      <c r="G14" s="248" t="s">
        <v>42</v>
      </c>
      <c r="H14" s="249"/>
      <c r="I14" s="249"/>
      <c r="J14" s="250"/>
      <c r="K14" s="102" t="s">
        <v>43</v>
      </c>
      <c r="L14" s="96"/>
      <c r="M14" s="96"/>
      <c r="N14" s="82"/>
      <c r="O14" s="96"/>
      <c r="P14" s="96"/>
      <c r="Q14" s="96"/>
      <c r="R14" s="101"/>
      <c r="S14" s="96"/>
      <c r="T14" s="84"/>
      <c r="U14" s="96"/>
      <c r="V14" s="84"/>
      <c r="W14" s="120"/>
      <c r="X14" s="86"/>
    </row>
    <row r="15" spans="1:24" s="85" customFormat="1" ht="25.15" customHeight="1" thickBot="1">
      <c r="A15" s="111"/>
      <c r="B15" s="119">
        <v>4</v>
      </c>
      <c r="C15" s="217"/>
      <c r="D15" s="96">
        <v>1</v>
      </c>
      <c r="E15" s="79">
        <v>495096</v>
      </c>
      <c r="F15" s="102" t="s">
        <v>44</v>
      </c>
      <c r="G15" s="222" t="s">
        <v>45</v>
      </c>
      <c r="H15" s="222"/>
      <c r="I15" s="222"/>
      <c r="J15" s="222"/>
      <c r="K15" s="80" t="s">
        <v>39</v>
      </c>
      <c r="L15" s="96"/>
      <c r="M15" s="96"/>
      <c r="N15" s="82"/>
      <c r="O15" s="183"/>
      <c r="P15" s="183"/>
      <c r="Q15" s="96"/>
      <c r="R15" s="101"/>
      <c r="S15" s="96"/>
      <c r="T15" s="84"/>
      <c r="U15" s="96"/>
      <c r="V15" s="84"/>
      <c r="W15" s="120"/>
      <c r="X15" s="86"/>
    </row>
    <row r="16" spans="1:24" s="85" customFormat="1" ht="25.15" customHeight="1">
      <c r="A16" s="111"/>
      <c r="B16" s="113">
        <v>5</v>
      </c>
      <c r="C16" s="217"/>
      <c r="D16" s="96">
        <v>1</v>
      </c>
      <c r="E16" s="79">
        <v>495078</v>
      </c>
      <c r="F16" s="102" t="s">
        <v>46</v>
      </c>
      <c r="G16" s="222" t="s">
        <v>47</v>
      </c>
      <c r="H16" s="222"/>
      <c r="I16" s="222"/>
      <c r="J16" s="222"/>
      <c r="K16" s="80" t="s">
        <v>39</v>
      </c>
      <c r="L16" s="96"/>
      <c r="M16" s="96"/>
      <c r="N16" s="82"/>
      <c r="O16" s="183"/>
      <c r="P16" s="183"/>
      <c r="Q16" s="103"/>
      <c r="R16" s="83"/>
      <c r="S16" s="96"/>
      <c r="T16" s="84"/>
      <c r="U16" s="96"/>
      <c r="V16" s="84"/>
      <c r="W16" s="120"/>
      <c r="X16" s="86"/>
    </row>
    <row r="17" spans="1:24" s="85" customFormat="1" ht="25.15" customHeight="1">
      <c r="A17" s="111"/>
      <c r="B17" s="119">
        <v>6</v>
      </c>
      <c r="C17" s="217"/>
      <c r="D17" s="96">
        <v>1</v>
      </c>
      <c r="E17" s="79">
        <v>495078</v>
      </c>
      <c r="F17" s="102" t="s">
        <v>48</v>
      </c>
      <c r="G17" s="222" t="s">
        <v>49</v>
      </c>
      <c r="H17" s="222"/>
      <c r="I17" s="222"/>
      <c r="J17" s="222"/>
      <c r="K17" s="80" t="s">
        <v>50</v>
      </c>
      <c r="L17" s="149" t="s">
        <v>51</v>
      </c>
      <c r="M17" s="96"/>
      <c r="N17" s="82"/>
      <c r="O17" s="183"/>
      <c r="P17" s="183"/>
      <c r="Q17" s="103"/>
      <c r="R17" s="83"/>
      <c r="S17" s="96"/>
      <c r="T17" s="84"/>
      <c r="U17" s="96"/>
      <c r="V17" s="84"/>
      <c r="W17" s="120"/>
      <c r="X17" s="86"/>
    </row>
    <row r="18" spans="1:24" s="85" customFormat="1" ht="25.15" customHeight="1" thickBot="1">
      <c r="A18" s="111"/>
      <c r="B18" s="170"/>
      <c r="C18" s="217"/>
      <c r="D18" s="96">
        <v>1</v>
      </c>
      <c r="E18" s="79">
        <v>495077</v>
      </c>
      <c r="F18" s="102" t="s">
        <v>52</v>
      </c>
      <c r="G18" s="223" t="s">
        <v>53</v>
      </c>
      <c r="H18" s="223"/>
      <c r="I18" s="223"/>
      <c r="J18" s="223"/>
      <c r="K18" s="80" t="s">
        <v>39</v>
      </c>
      <c r="L18" s="149"/>
      <c r="M18" s="96"/>
      <c r="N18" s="82"/>
      <c r="O18" s="96"/>
      <c r="P18" s="96"/>
      <c r="Q18" s="103"/>
      <c r="R18" s="83"/>
      <c r="S18" s="96"/>
      <c r="T18" s="84"/>
      <c r="U18" s="96"/>
      <c r="V18" s="84"/>
      <c r="W18" s="120"/>
      <c r="X18" s="86"/>
    </row>
    <row r="19" spans="1:24" s="85" customFormat="1" ht="25.15" customHeight="1">
      <c r="A19" s="111"/>
      <c r="B19" s="113">
        <v>7</v>
      </c>
      <c r="C19" s="217"/>
      <c r="D19" s="96">
        <v>1</v>
      </c>
      <c r="E19" s="79">
        <v>495077</v>
      </c>
      <c r="F19" s="105" t="s">
        <v>54</v>
      </c>
      <c r="G19" s="223" t="s">
        <v>53</v>
      </c>
      <c r="H19" s="223"/>
      <c r="I19" s="223"/>
      <c r="J19" s="223"/>
      <c r="K19" s="80" t="s">
        <v>39</v>
      </c>
      <c r="L19" s="96"/>
      <c r="M19" s="96"/>
      <c r="N19" s="82"/>
      <c r="O19" s="183"/>
      <c r="P19" s="183"/>
      <c r="Q19" s="103"/>
      <c r="R19" s="83"/>
      <c r="S19" s="96"/>
      <c r="T19" s="84"/>
      <c r="U19" s="96"/>
      <c r="V19" s="84"/>
      <c r="W19" s="120"/>
      <c r="X19" s="86"/>
    </row>
    <row r="20" spans="1:24" s="85" customFormat="1" ht="25.15" customHeight="1" thickBot="1">
      <c r="A20" s="111"/>
      <c r="B20" s="119">
        <v>8</v>
      </c>
      <c r="C20" s="217"/>
      <c r="D20" s="96">
        <v>1</v>
      </c>
      <c r="E20" s="79">
        <v>495077</v>
      </c>
      <c r="F20" s="105" t="s">
        <v>55</v>
      </c>
      <c r="G20" s="223" t="s">
        <v>53</v>
      </c>
      <c r="H20" s="223"/>
      <c r="I20" s="223"/>
      <c r="J20" s="223"/>
      <c r="K20" s="80" t="s">
        <v>39</v>
      </c>
      <c r="L20" s="96"/>
      <c r="M20" s="96"/>
      <c r="N20" s="82"/>
      <c r="O20" s="183"/>
      <c r="P20" s="183"/>
      <c r="Q20" s="103"/>
      <c r="R20" s="83"/>
      <c r="S20" s="96"/>
      <c r="T20" s="84"/>
      <c r="U20" s="96"/>
      <c r="V20" s="84"/>
      <c r="W20" s="120"/>
      <c r="X20" s="86"/>
    </row>
    <row r="21" spans="1:24" s="85" customFormat="1" ht="25.15" customHeight="1">
      <c r="A21" s="111"/>
      <c r="B21" s="113">
        <v>9</v>
      </c>
      <c r="C21" s="217"/>
      <c r="D21" s="96">
        <v>1</v>
      </c>
      <c r="E21" s="79">
        <v>495076</v>
      </c>
      <c r="F21" s="105" t="s">
        <v>56</v>
      </c>
      <c r="G21" s="223" t="s">
        <v>57</v>
      </c>
      <c r="H21" s="223"/>
      <c r="I21" s="223"/>
      <c r="J21" s="223"/>
      <c r="K21" s="80" t="s">
        <v>58</v>
      </c>
      <c r="L21" s="148"/>
      <c r="M21" s="96"/>
      <c r="N21" s="82"/>
      <c r="O21" s="183"/>
      <c r="P21" s="183"/>
      <c r="Q21" s="103"/>
      <c r="R21" s="83"/>
      <c r="S21" s="96"/>
      <c r="T21" s="84"/>
      <c r="U21" s="96"/>
      <c r="V21" s="84"/>
      <c r="W21" s="120"/>
      <c r="X21" s="86"/>
    </row>
    <row r="22" spans="1:24" s="85" customFormat="1" ht="25.15" customHeight="1" thickBot="1">
      <c r="A22" s="111"/>
      <c r="B22" s="119">
        <v>10</v>
      </c>
      <c r="C22" s="217"/>
      <c r="D22" s="96">
        <v>0</v>
      </c>
      <c r="E22" s="79">
        <v>495076</v>
      </c>
      <c r="F22" s="102" t="s">
        <v>40</v>
      </c>
      <c r="G22" s="222" t="s">
        <v>57</v>
      </c>
      <c r="H22" s="222"/>
      <c r="I22" s="222"/>
      <c r="J22" s="222"/>
      <c r="K22" s="102" t="s">
        <v>40</v>
      </c>
      <c r="L22" s="96"/>
      <c r="M22" s="96"/>
      <c r="N22" s="82"/>
      <c r="O22" s="183"/>
      <c r="P22" s="183"/>
      <c r="Q22" s="103"/>
      <c r="R22" s="83"/>
      <c r="S22" s="96"/>
      <c r="T22" s="84"/>
      <c r="U22" s="96"/>
      <c r="V22" s="84"/>
      <c r="W22" s="120"/>
      <c r="X22" s="86"/>
    </row>
    <row r="23" spans="1:24" s="85" customFormat="1" ht="25.15" customHeight="1">
      <c r="A23" s="111"/>
      <c r="B23" s="113">
        <v>11</v>
      </c>
      <c r="C23" s="217"/>
      <c r="D23" s="97">
        <v>1</v>
      </c>
      <c r="E23" s="106">
        <v>495081</v>
      </c>
      <c r="F23" s="105" t="s">
        <v>59</v>
      </c>
      <c r="G23" s="223" t="s">
        <v>60</v>
      </c>
      <c r="H23" s="223"/>
      <c r="I23" s="223"/>
      <c r="J23" s="223"/>
      <c r="K23" s="107" t="s">
        <v>50</v>
      </c>
      <c r="L23" s="148"/>
      <c r="M23" s="96"/>
      <c r="N23" s="82"/>
      <c r="O23" s="183"/>
      <c r="P23" s="183"/>
      <c r="Q23" s="103"/>
      <c r="R23" s="83"/>
      <c r="S23" s="96"/>
      <c r="T23" s="84"/>
      <c r="U23" s="96"/>
      <c r="V23" s="84"/>
      <c r="W23" s="120"/>
      <c r="X23" s="86"/>
    </row>
    <row r="24" spans="1:24" s="85" customFormat="1" ht="25.15" customHeight="1" thickBot="1">
      <c r="A24" s="111"/>
      <c r="B24" s="119">
        <v>12</v>
      </c>
      <c r="C24" s="217"/>
      <c r="D24" s="97">
        <v>1</v>
      </c>
      <c r="E24" s="106">
        <v>495082</v>
      </c>
      <c r="F24" s="105" t="s">
        <v>61</v>
      </c>
      <c r="G24" s="223" t="s">
        <v>62</v>
      </c>
      <c r="H24" s="223"/>
      <c r="I24" s="223"/>
      <c r="J24" s="223"/>
      <c r="K24" s="107" t="s">
        <v>50</v>
      </c>
      <c r="L24" s="148"/>
      <c r="M24" s="96"/>
      <c r="N24" s="82"/>
      <c r="O24" s="183"/>
      <c r="P24" s="183"/>
      <c r="Q24" s="103"/>
      <c r="R24" s="83"/>
      <c r="S24" s="96"/>
      <c r="T24" s="84"/>
      <c r="U24" s="96"/>
      <c r="V24" s="84"/>
      <c r="W24" s="120"/>
      <c r="X24" s="86"/>
    </row>
    <row r="25" spans="1:24" s="85" customFormat="1" ht="25.15" customHeight="1">
      <c r="A25" s="111"/>
      <c r="B25" s="113">
        <v>13</v>
      </c>
      <c r="C25" s="217"/>
      <c r="D25" s="97">
        <v>1</v>
      </c>
      <c r="E25" s="106">
        <v>495083</v>
      </c>
      <c r="F25" s="105" t="s">
        <v>63</v>
      </c>
      <c r="G25" s="223" t="s">
        <v>64</v>
      </c>
      <c r="H25" s="223"/>
      <c r="I25" s="223"/>
      <c r="J25" s="223"/>
      <c r="K25" s="107" t="s">
        <v>43</v>
      </c>
      <c r="L25" s="96"/>
      <c r="M25" s="96"/>
      <c r="N25" s="82"/>
      <c r="O25" s="183"/>
      <c r="P25" s="183"/>
      <c r="Q25" s="103"/>
      <c r="R25" s="83"/>
      <c r="S25" s="96"/>
      <c r="T25" s="84"/>
      <c r="U25" s="96"/>
      <c r="V25" s="84"/>
      <c r="W25" s="120"/>
      <c r="X25" s="86"/>
    </row>
    <row r="26" spans="1:24" s="85" customFormat="1" ht="25.15" customHeight="1" thickBot="1">
      <c r="A26" s="111"/>
      <c r="B26" s="119">
        <v>14</v>
      </c>
      <c r="C26" s="217"/>
      <c r="D26" s="96">
        <v>0</v>
      </c>
      <c r="E26" s="79">
        <v>495106</v>
      </c>
      <c r="F26" s="102" t="s">
        <v>40</v>
      </c>
      <c r="G26" s="222" t="s">
        <v>65</v>
      </c>
      <c r="H26" s="222"/>
      <c r="I26" s="222"/>
      <c r="J26" s="222"/>
      <c r="K26" s="80" t="s">
        <v>40</v>
      </c>
      <c r="L26" s="96"/>
      <c r="M26" s="96"/>
      <c r="N26" s="82"/>
      <c r="O26" s="183"/>
      <c r="P26" s="183"/>
      <c r="Q26" s="96"/>
      <c r="R26" s="96"/>
      <c r="S26" s="96"/>
      <c r="T26" s="84"/>
      <c r="U26" s="96"/>
      <c r="V26" s="84"/>
      <c r="W26" s="120"/>
      <c r="X26" s="86"/>
    </row>
    <row r="27" spans="1:24" s="85" customFormat="1" ht="25.15" customHeight="1" thickBot="1">
      <c r="A27" s="111"/>
      <c r="B27" s="113">
        <v>15</v>
      </c>
      <c r="C27" s="218"/>
      <c r="D27" s="90">
        <v>0</v>
      </c>
      <c r="E27" s="123">
        <v>495084</v>
      </c>
      <c r="F27" s="124" t="s">
        <v>40</v>
      </c>
      <c r="G27" s="224" t="s">
        <v>66</v>
      </c>
      <c r="H27" s="224"/>
      <c r="I27" s="224"/>
      <c r="J27" s="224"/>
      <c r="K27" s="81" t="s">
        <v>40</v>
      </c>
      <c r="L27" s="90"/>
      <c r="M27" s="90"/>
      <c r="N27" s="91"/>
      <c r="O27" s="225"/>
      <c r="P27" s="225"/>
      <c r="Q27" s="90"/>
      <c r="R27" s="90"/>
      <c r="S27" s="90"/>
      <c r="T27" s="93"/>
      <c r="U27" s="90"/>
      <c r="V27" s="93"/>
      <c r="W27" s="125"/>
      <c r="X27" s="86"/>
    </row>
    <row r="28" spans="1:24" s="85" customFormat="1" ht="25.15" customHeight="1" thickBot="1">
      <c r="A28" s="111"/>
      <c r="B28" s="119">
        <v>16</v>
      </c>
      <c r="C28" s="216" t="s">
        <v>67</v>
      </c>
      <c r="D28" s="95">
        <v>0</v>
      </c>
      <c r="E28" s="114">
        <v>495097</v>
      </c>
      <c r="F28" s="126" t="s">
        <v>40</v>
      </c>
      <c r="G28" s="219" t="s">
        <v>68</v>
      </c>
      <c r="H28" s="219"/>
      <c r="I28" s="219"/>
      <c r="J28" s="219"/>
      <c r="K28" s="116" t="s">
        <v>40</v>
      </c>
      <c r="L28" s="95"/>
      <c r="M28" s="95"/>
      <c r="N28" s="87"/>
      <c r="O28" s="220"/>
      <c r="P28" s="220"/>
      <c r="Q28" s="95"/>
      <c r="R28" s="95"/>
      <c r="S28" s="95"/>
      <c r="T28" s="89"/>
      <c r="U28" s="95"/>
      <c r="V28" s="89"/>
      <c r="W28" s="118"/>
      <c r="X28" s="86"/>
    </row>
    <row r="29" spans="1:24" s="85" customFormat="1" ht="25.15" customHeight="1">
      <c r="A29" s="111"/>
      <c r="B29" s="113">
        <v>17</v>
      </c>
      <c r="C29" s="217"/>
      <c r="D29" s="96">
        <v>0</v>
      </c>
      <c r="E29" s="79">
        <v>495098</v>
      </c>
      <c r="F29" s="102" t="s">
        <v>40</v>
      </c>
      <c r="G29" s="222" t="s">
        <v>69</v>
      </c>
      <c r="H29" s="222"/>
      <c r="I29" s="222"/>
      <c r="J29" s="222"/>
      <c r="K29" s="80" t="s">
        <v>40</v>
      </c>
      <c r="L29" s="96"/>
      <c r="M29" s="96"/>
      <c r="N29" s="82"/>
      <c r="O29" s="183"/>
      <c r="P29" s="183"/>
      <c r="Q29" s="96"/>
      <c r="R29" s="96"/>
      <c r="S29" s="96"/>
      <c r="T29" s="84"/>
      <c r="U29" s="96"/>
      <c r="V29" s="84"/>
      <c r="W29" s="120"/>
      <c r="X29" s="86"/>
    </row>
    <row r="30" spans="1:24" s="85" customFormat="1" ht="25.15" customHeight="1" thickBot="1">
      <c r="A30" s="111"/>
      <c r="B30" s="119">
        <v>18</v>
      </c>
      <c r="C30" s="217"/>
      <c r="D30" s="96">
        <v>0</v>
      </c>
      <c r="E30" s="79">
        <v>495099</v>
      </c>
      <c r="F30" s="102" t="s">
        <v>40</v>
      </c>
      <c r="G30" s="222" t="s">
        <v>70</v>
      </c>
      <c r="H30" s="222"/>
      <c r="I30" s="222"/>
      <c r="J30" s="222"/>
      <c r="K30" s="80" t="s">
        <v>40</v>
      </c>
      <c r="L30" s="96"/>
      <c r="M30" s="96"/>
      <c r="N30" s="82"/>
      <c r="O30" s="183"/>
      <c r="P30" s="183"/>
      <c r="Q30" s="96"/>
      <c r="R30" s="96"/>
      <c r="S30" s="96"/>
      <c r="T30" s="84"/>
      <c r="U30" s="96"/>
      <c r="V30" s="84"/>
      <c r="W30" s="120"/>
      <c r="X30" s="86"/>
    </row>
    <row r="31" spans="1:24" s="85" customFormat="1" ht="25.15" customHeight="1">
      <c r="A31" s="111"/>
      <c r="B31" s="113">
        <v>19</v>
      </c>
      <c r="C31" s="217"/>
      <c r="D31" s="96">
        <v>0</v>
      </c>
      <c r="E31" s="79">
        <v>495100</v>
      </c>
      <c r="F31" s="102" t="s">
        <v>40</v>
      </c>
      <c r="G31" s="222" t="s">
        <v>71</v>
      </c>
      <c r="H31" s="222"/>
      <c r="I31" s="222"/>
      <c r="J31" s="222"/>
      <c r="K31" s="80" t="s">
        <v>40</v>
      </c>
      <c r="L31" s="96"/>
      <c r="M31" s="96"/>
      <c r="N31" s="82"/>
      <c r="O31" s="183"/>
      <c r="P31" s="183"/>
      <c r="Q31" s="96"/>
      <c r="R31" s="96"/>
      <c r="S31" s="96"/>
      <c r="T31" s="84"/>
      <c r="U31" s="96"/>
      <c r="V31" s="84"/>
      <c r="W31" s="120"/>
      <c r="X31" s="86"/>
    </row>
    <row r="32" spans="1:24" s="85" customFormat="1" ht="25.15" customHeight="1" thickBot="1">
      <c r="A32" s="111"/>
      <c r="B32" s="119">
        <v>20</v>
      </c>
      <c r="C32" s="217"/>
      <c r="D32" s="96">
        <v>0</v>
      </c>
      <c r="E32" s="79">
        <v>495101</v>
      </c>
      <c r="F32" s="102" t="s">
        <v>40</v>
      </c>
      <c r="G32" s="222" t="s">
        <v>72</v>
      </c>
      <c r="H32" s="222"/>
      <c r="I32" s="222"/>
      <c r="J32" s="222"/>
      <c r="K32" s="80" t="s">
        <v>40</v>
      </c>
      <c r="L32" s="96"/>
      <c r="M32" s="96"/>
      <c r="N32" s="82"/>
      <c r="O32" s="183"/>
      <c r="P32" s="183"/>
      <c r="Q32" s="96"/>
      <c r="R32" s="96"/>
      <c r="S32" s="96"/>
      <c r="T32" s="84"/>
      <c r="U32" s="96"/>
      <c r="V32" s="84"/>
      <c r="W32" s="120"/>
      <c r="X32" s="86"/>
    </row>
    <row r="33" spans="1:24" s="85" customFormat="1" ht="25.15" customHeight="1">
      <c r="A33" s="111"/>
      <c r="B33" s="113">
        <v>21</v>
      </c>
      <c r="C33" s="217"/>
      <c r="D33" s="96">
        <v>0</v>
      </c>
      <c r="E33" s="79">
        <v>495102</v>
      </c>
      <c r="F33" s="102" t="s">
        <v>40</v>
      </c>
      <c r="G33" s="222" t="s">
        <v>73</v>
      </c>
      <c r="H33" s="222"/>
      <c r="I33" s="222"/>
      <c r="J33" s="222"/>
      <c r="K33" s="80" t="s">
        <v>40</v>
      </c>
      <c r="L33" s="96"/>
      <c r="M33" s="96"/>
      <c r="N33" s="82"/>
      <c r="O33" s="183"/>
      <c r="P33" s="183"/>
      <c r="Q33" s="96"/>
      <c r="R33" s="101"/>
      <c r="S33" s="96"/>
      <c r="T33" s="84"/>
      <c r="U33" s="96"/>
      <c r="V33" s="84"/>
      <c r="W33" s="120"/>
      <c r="X33" s="86"/>
    </row>
    <row r="34" spans="1:24" s="85" customFormat="1" ht="25.15" customHeight="1" thickBot="1">
      <c r="A34" s="111"/>
      <c r="B34" s="119">
        <v>22</v>
      </c>
      <c r="C34" s="217"/>
      <c r="D34" s="96">
        <v>1</v>
      </c>
      <c r="E34" s="79">
        <v>495103</v>
      </c>
      <c r="F34" s="102" t="s">
        <v>74</v>
      </c>
      <c r="G34" s="222" t="s">
        <v>75</v>
      </c>
      <c r="H34" s="222"/>
      <c r="I34" s="222"/>
      <c r="J34" s="222"/>
      <c r="K34" s="80" t="s">
        <v>50</v>
      </c>
      <c r="L34" s="96"/>
      <c r="M34" s="96"/>
      <c r="N34" s="82"/>
      <c r="O34" s="183"/>
      <c r="P34" s="183"/>
      <c r="Q34" s="96"/>
      <c r="R34" s="96"/>
      <c r="S34" s="96"/>
      <c r="T34" s="84"/>
      <c r="U34" s="96"/>
      <c r="V34" s="84"/>
      <c r="W34" s="120"/>
      <c r="X34" s="86"/>
    </row>
    <row r="35" spans="1:24" s="85" customFormat="1" ht="25.15" customHeight="1">
      <c r="A35" s="111"/>
      <c r="B35" s="113">
        <v>23</v>
      </c>
      <c r="C35" s="217"/>
      <c r="D35" s="96">
        <v>1</v>
      </c>
      <c r="E35" s="79">
        <v>495104</v>
      </c>
      <c r="F35" s="102" t="s">
        <v>76</v>
      </c>
      <c r="G35" s="222" t="s">
        <v>77</v>
      </c>
      <c r="H35" s="222"/>
      <c r="I35" s="222"/>
      <c r="J35" s="222"/>
      <c r="K35" s="80" t="s">
        <v>78</v>
      </c>
      <c r="L35" s="148"/>
      <c r="M35" s="96"/>
      <c r="N35" s="82"/>
      <c r="O35" s="183"/>
      <c r="P35" s="183"/>
      <c r="Q35" s="96"/>
      <c r="R35" s="96"/>
      <c r="S35" s="96"/>
      <c r="T35" s="84"/>
      <c r="U35" s="96"/>
      <c r="V35" s="84"/>
      <c r="W35" s="120"/>
      <c r="X35" s="86"/>
    </row>
    <row r="36" spans="1:24" s="85" customFormat="1" ht="25.15" customHeight="1" thickBot="1">
      <c r="A36" s="111"/>
      <c r="B36" s="119">
        <v>24</v>
      </c>
      <c r="C36" s="218"/>
      <c r="D36" s="90">
        <v>0</v>
      </c>
      <c r="E36" s="123">
        <v>495105</v>
      </c>
      <c r="F36" s="124" t="s">
        <v>40</v>
      </c>
      <c r="G36" s="224" t="s">
        <v>79</v>
      </c>
      <c r="H36" s="224"/>
      <c r="I36" s="224"/>
      <c r="J36" s="224"/>
      <c r="K36" s="81" t="s">
        <v>40</v>
      </c>
      <c r="L36" s="90"/>
      <c r="M36" s="90"/>
      <c r="N36" s="91"/>
      <c r="O36" s="225"/>
      <c r="P36" s="225"/>
      <c r="Q36" s="90"/>
      <c r="R36" s="90"/>
      <c r="S36" s="90"/>
      <c r="T36" s="93"/>
      <c r="U36" s="90"/>
      <c r="V36" s="93"/>
      <c r="W36" s="125"/>
      <c r="X36" s="86"/>
    </row>
    <row r="37" spans="1:24" s="85" customFormat="1" ht="25.15" customHeight="1">
      <c r="A37" s="111"/>
      <c r="B37" s="113">
        <v>25</v>
      </c>
      <c r="C37" s="216" t="s">
        <v>80</v>
      </c>
      <c r="D37" s="127">
        <v>1</v>
      </c>
      <c r="E37" s="128">
        <v>495085</v>
      </c>
      <c r="F37" s="129" t="s">
        <v>81</v>
      </c>
      <c r="G37" s="226" t="s">
        <v>82</v>
      </c>
      <c r="H37" s="226"/>
      <c r="I37" s="226"/>
      <c r="J37" s="226"/>
      <c r="K37" s="130" t="s">
        <v>43</v>
      </c>
      <c r="L37" s="150"/>
      <c r="M37" s="95"/>
      <c r="N37" s="87"/>
      <c r="O37" s="220"/>
      <c r="P37" s="220"/>
      <c r="Q37" s="131"/>
      <c r="R37" s="88"/>
      <c r="S37" s="95"/>
      <c r="T37" s="89"/>
      <c r="U37" s="95"/>
      <c r="V37" s="89"/>
      <c r="W37" s="118"/>
      <c r="X37" s="86"/>
    </row>
    <row r="38" spans="1:24" s="85" customFormat="1" ht="25.15" customHeight="1" thickBot="1">
      <c r="A38" s="111"/>
      <c r="B38" s="119">
        <v>26</v>
      </c>
      <c r="C38" s="217"/>
      <c r="D38" s="97">
        <v>1</v>
      </c>
      <c r="E38" s="108">
        <v>495086</v>
      </c>
      <c r="F38" s="105" t="s">
        <v>83</v>
      </c>
      <c r="G38" s="227" t="s">
        <v>84</v>
      </c>
      <c r="H38" s="227"/>
      <c r="I38" s="227"/>
      <c r="J38" s="227"/>
      <c r="K38" s="107" t="s">
        <v>58</v>
      </c>
      <c r="L38" s="148"/>
      <c r="M38" s="96"/>
      <c r="N38" s="82"/>
      <c r="O38" s="183"/>
      <c r="P38" s="183"/>
      <c r="Q38" s="103"/>
      <c r="R38" s="83"/>
      <c r="S38" s="96"/>
      <c r="T38" s="84"/>
      <c r="U38" s="96"/>
      <c r="V38" s="84"/>
      <c r="W38" s="120"/>
      <c r="X38" s="86"/>
    </row>
    <row r="39" spans="1:24" s="85" customFormat="1" ht="25.15" customHeight="1">
      <c r="A39" s="111"/>
      <c r="B39" s="113">
        <v>27</v>
      </c>
      <c r="C39" s="217"/>
      <c r="D39" s="97">
        <v>1</v>
      </c>
      <c r="E39" s="108">
        <v>495087</v>
      </c>
      <c r="F39" s="105" t="s">
        <v>85</v>
      </c>
      <c r="G39" s="227" t="s">
        <v>86</v>
      </c>
      <c r="H39" s="227"/>
      <c r="I39" s="227"/>
      <c r="J39" s="227"/>
      <c r="K39" s="107" t="s">
        <v>50</v>
      </c>
      <c r="L39" s="148"/>
      <c r="M39" s="96"/>
      <c r="N39" s="82"/>
      <c r="O39" s="183"/>
      <c r="P39" s="183"/>
      <c r="Q39" s="103"/>
      <c r="R39" s="83"/>
      <c r="S39" s="96"/>
      <c r="T39" s="84"/>
      <c r="U39" s="96"/>
      <c r="V39" s="84"/>
      <c r="W39" s="120"/>
      <c r="X39" s="86"/>
    </row>
    <row r="40" spans="1:24" s="85" customFormat="1" ht="25.15" customHeight="1" thickBot="1">
      <c r="A40" s="111"/>
      <c r="B40" s="119">
        <v>28</v>
      </c>
      <c r="C40" s="217"/>
      <c r="D40" s="97">
        <v>1</v>
      </c>
      <c r="E40" s="108">
        <v>495088</v>
      </c>
      <c r="F40" s="105" t="s">
        <v>87</v>
      </c>
      <c r="G40" s="227" t="s">
        <v>88</v>
      </c>
      <c r="H40" s="227"/>
      <c r="I40" s="227"/>
      <c r="J40" s="227"/>
      <c r="K40" s="107" t="s">
        <v>50</v>
      </c>
      <c r="L40" s="149"/>
      <c r="M40" s="96"/>
      <c r="N40" s="82"/>
      <c r="O40" s="183"/>
      <c r="P40" s="183"/>
      <c r="Q40" s="96"/>
      <c r="R40" s="96"/>
      <c r="S40" s="96"/>
      <c r="T40" s="84"/>
      <c r="U40" s="96"/>
      <c r="V40" s="84"/>
      <c r="W40" s="120"/>
      <c r="X40" s="86"/>
    </row>
    <row r="41" spans="1:24" s="85" customFormat="1" ht="31.5" customHeight="1">
      <c r="A41" s="111"/>
      <c r="B41" s="113">
        <v>29</v>
      </c>
      <c r="C41" s="217"/>
      <c r="D41" s="97">
        <v>1</v>
      </c>
      <c r="E41" s="105">
        <v>495088</v>
      </c>
      <c r="F41" s="105" t="s">
        <v>89</v>
      </c>
      <c r="G41" s="184" t="s">
        <v>90</v>
      </c>
      <c r="H41" s="184"/>
      <c r="I41" s="184"/>
      <c r="J41" s="184"/>
      <c r="K41" s="80" t="s">
        <v>50</v>
      </c>
      <c r="L41" s="96"/>
      <c r="M41" s="96"/>
      <c r="N41" s="96"/>
      <c r="O41" s="83"/>
      <c r="P41" s="96"/>
      <c r="Q41" s="103"/>
      <c r="R41" s="83"/>
      <c r="S41" s="96"/>
      <c r="T41" s="84"/>
      <c r="U41" s="96"/>
      <c r="V41" s="84"/>
      <c r="W41" s="121"/>
      <c r="X41" s="86"/>
    </row>
    <row r="42" spans="1:24" s="85" customFormat="1" ht="25.15" customHeight="1" thickBot="1">
      <c r="A42" s="111"/>
      <c r="B42" s="119">
        <v>30</v>
      </c>
      <c r="C42" s="217"/>
      <c r="D42" s="96">
        <v>0</v>
      </c>
      <c r="E42" s="109">
        <v>497277</v>
      </c>
      <c r="F42" s="102" t="s">
        <v>40</v>
      </c>
      <c r="G42" s="228" t="s">
        <v>91</v>
      </c>
      <c r="H42" s="228"/>
      <c r="I42" s="228"/>
      <c r="J42" s="228"/>
      <c r="K42" s="80" t="s">
        <v>40</v>
      </c>
      <c r="L42" s="96"/>
      <c r="M42" s="96"/>
      <c r="N42" s="82"/>
      <c r="O42" s="183"/>
      <c r="P42" s="183"/>
      <c r="Q42" s="96"/>
      <c r="R42" s="96"/>
      <c r="S42" s="96"/>
      <c r="T42" s="84"/>
      <c r="U42" s="96"/>
      <c r="V42" s="84"/>
      <c r="W42" s="120"/>
      <c r="X42" s="86"/>
    </row>
    <row r="43" spans="1:24" s="85" customFormat="1" ht="25.15" customHeight="1">
      <c r="A43" s="111"/>
      <c r="B43" s="113">
        <v>31</v>
      </c>
      <c r="C43" s="217"/>
      <c r="D43" s="96">
        <v>0</v>
      </c>
      <c r="E43" s="109">
        <v>497278</v>
      </c>
      <c r="F43" s="102" t="s">
        <v>40</v>
      </c>
      <c r="G43" s="228" t="s">
        <v>92</v>
      </c>
      <c r="H43" s="228"/>
      <c r="I43" s="228"/>
      <c r="J43" s="228"/>
      <c r="K43" s="80" t="s">
        <v>40</v>
      </c>
      <c r="L43" s="96"/>
      <c r="M43" s="96"/>
      <c r="N43" s="82"/>
      <c r="O43" s="183"/>
      <c r="P43" s="183"/>
      <c r="Q43" s="96"/>
      <c r="R43" s="96"/>
      <c r="S43" s="96"/>
      <c r="T43" s="84"/>
      <c r="U43" s="96"/>
      <c r="V43" s="84"/>
      <c r="W43" s="120"/>
      <c r="X43" s="86"/>
    </row>
    <row r="44" spans="1:24" s="85" customFormat="1" ht="25.15" customHeight="1" thickBot="1">
      <c r="A44" s="111"/>
      <c r="B44" s="119">
        <v>32</v>
      </c>
      <c r="C44" s="217"/>
      <c r="D44" s="96">
        <v>1</v>
      </c>
      <c r="E44" s="109">
        <v>496064</v>
      </c>
      <c r="F44" s="102" t="s">
        <v>93</v>
      </c>
      <c r="G44" s="228" t="s">
        <v>94</v>
      </c>
      <c r="H44" s="228"/>
      <c r="I44" s="228"/>
      <c r="J44" s="228"/>
      <c r="K44" s="80" t="s">
        <v>39</v>
      </c>
      <c r="L44" s="148"/>
      <c r="M44" s="96"/>
      <c r="N44" s="82"/>
      <c r="O44" s="183"/>
      <c r="P44" s="183"/>
      <c r="Q44" s="96"/>
      <c r="R44" s="96"/>
      <c r="S44" s="96"/>
      <c r="T44" s="84"/>
      <c r="U44" s="96"/>
      <c r="V44" s="84"/>
      <c r="W44" s="120"/>
      <c r="X44" s="86"/>
    </row>
    <row r="45" spans="1:24" s="85" customFormat="1" ht="25.15" customHeight="1">
      <c r="A45" s="111"/>
      <c r="B45" s="113">
        <v>33</v>
      </c>
      <c r="C45" s="217"/>
      <c r="D45" s="96">
        <v>0</v>
      </c>
      <c r="E45" s="109">
        <v>495093</v>
      </c>
      <c r="F45" s="102" t="s">
        <v>40</v>
      </c>
      <c r="G45" s="229" t="s">
        <v>95</v>
      </c>
      <c r="H45" s="229"/>
      <c r="I45" s="229"/>
      <c r="J45" s="229"/>
      <c r="K45" s="80" t="s">
        <v>40</v>
      </c>
      <c r="L45" s="96"/>
      <c r="M45" s="96"/>
      <c r="N45" s="82"/>
      <c r="O45" s="183"/>
      <c r="P45" s="183"/>
      <c r="Q45" s="96"/>
      <c r="R45" s="96"/>
      <c r="S45" s="96"/>
      <c r="T45" s="84"/>
      <c r="U45" s="96"/>
      <c r="V45" s="84"/>
      <c r="W45" s="121"/>
      <c r="X45" s="86"/>
    </row>
    <row r="46" spans="1:24" s="85" customFormat="1" ht="25.15" customHeight="1" thickBot="1">
      <c r="A46" s="111"/>
      <c r="B46" s="119">
        <v>34</v>
      </c>
      <c r="C46" s="217"/>
      <c r="D46" s="97">
        <v>0</v>
      </c>
      <c r="E46" s="108">
        <v>495072</v>
      </c>
      <c r="F46" s="105" t="s">
        <v>40</v>
      </c>
      <c r="G46" s="227" t="s">
        <v>96</v>
      </c>
      <c r="H46" s="227"/>
      <c r="I46" s="227"/>
      <c r="J46" s="227"/>
      <c r="K46" s="80" t="s">
        <v>40</v>
      </c>
      <c r="L46" s="96"/>
      <c r="M46" s="96"/>
      <c r="N46" s="82"/>
      <c r="O46" s="183"/>
      <c r="P46" s="183"/>
      <c r="Q46" s="96"/>
      <c r="R46" s="96"/>
      <c r="S46" s="96"/>
      <c r="T46" s="84"/>
      <c r="U46" s="96"/>
      <c r="V46" s="84"/>
      <c r="W46" s="120"/>
      <c r="X46" s="86"/>
    </row>
    <row r="47" spans="1:24" s="85" customFormat="1" ht="25.15" customHeight="1">
      <c r="A47" s="111"/>
      <c r="B47" s="113">
        <v>35</v>
      </c>
      <c r="C47" s="217"/>
      <c r="D47" s="97">
        <v>1</v>
      </c>
      <c r="E47" s="108">
        <v>495073</v>
      </c>
      <c r="F47" s="105" t="s">
        <v>97</v>
      </c>
      <c r="G47" s="227" t="s">
        <v>98</v>
      </c>
      <c r="H47" s="227"/>
      <c r="I47" s="227"/>
      <c r="J47" s="227"/>
      <c r="K47" s="107" t="s">
        <v>50</v>
      </c>
      <c r="L47" s="96"/>
      <c r="M47" s="96"/>
      <c r="N47" s="82"/>
      <c r="O47" s="183"/>
      <c r="P47" s="183"/>
      <c r="Q47" s="103"/>
      <c r="R47" s="83"/>
      <c r="S47" s="96"/>
      <c r="T47" s="84"/>
      <c r="U47" s="96"/>
      <c r="V47" s="84"/>
      <c r="W47" s="120"/>
      <c r="X47" s="86"/>
    </row>
    <row r="48" spans="1:24" s="85" customFormat="1" ht="25.15" customHeight="1" thickBot="1">
      <c r="A48" s="111"/>
      <c r="B48" s="119">
        <v>36</v>
      </c>
      <c r="C48" s="217"/>
      <c r="D48" s="96">
        <v>1</v>
      </c>
      <c r="E48" s="109">
        <v>495074</v>
      </c>
      <c r="F48" s="100" t="s">
        <v>99</v>
      </c>
      <c r="G48" s="228" t="s">
        <v>100</v>
      </c>
      <c r="H48" s="228"/>
      <c r="I48" s="228"/>
      <c r="J48" s="228"/>
      <c r="K48" s="80" t="s">
        <v>43</v>
      </c>
      <c r="L48" s="96"/>
      <c r="M48" s="96"/>
      <c r="N48" s="82"/>
      <c r="O48" s="183"/>
      <c r="P48" s="183"/>
      <c r="Q48" s="103"/>
      <c r="R48" s="83"/>
      <c r="S48" s="96"/>
      <c r="T48" s="84"/>
      <c r="U48" s="96"/>
      <c r="V48" s="84"/>
      <c r="W48" s="120"/>
      <c r="X48" s="86"/>
    </row>
    <row r="49" spans="1:24" s="85" customFormat="1" ht="25.15" customHeight="1" thickBot="1">
      <c r="A49" s="111"/>
      <c r="B49" s="113">
        <v>37</v>
      </c>
      <c r="C49" s="218"/>
      <c r="D49" s="90">
        <v>1</v>
      </c>
      <c r="E49" s="132">
        <v>520659</v>
      </c>
      <c r="F49" s="124" t="s">
        <v>101</v>
      </c>
      <c r="G49" s="231" t="s">
        <v>102</v>
      </c>
      <c r="H49" s="231"/>
      <c r="I49" s="231"/>
      <c r="J49" s="231"/>
      <c r="K49" s="81" t="s">
        <v>39</v>
      </c>
      <c r="L49" s="152"/>
      <c r="M49" s="90"/>
      <c r="N49" s="91"/>
      <c r="O49" s="225"/>
      <c r="P49" s="225"/>
      <c r="Q49" s="90"/>
      <c r="R49" s="90"/>
      <c r="S49" s="90"/>
      <c r="T49" s="93"/>
      <c r="U49" s="90"/>
      <c r="V49" s="93"/>
      <c r="W49" s="125"/>
      <c r="X49" s="86"/>
    </row>
    <row r="50" spans="1:24" s="85" customFormat="1" ht="25.15" customHeight="1" thickBot="1">
      <c r="A50" s="111"/>
      <c r="B50" s="119">
        <v>38</v>
      </c>
      <c r="C50" s="216" t="s">
        <v>103</v>
      </c>
      <c r="D50" s="95">
        <v>1</v>
      </c>
      <c r="E50" s="114">
        <v>495070</v>
      </c>
      <c r="F50" s="126" t="s">
        <v>104</v>
      </c>
      <c r="G50" s="219" t="s">
        <v>105</v>
      </c>
      <c r="H50" s="219"/>
      <c r="I50" s="219"/>
      <c r="J50" s="219"/>
      <c r="K50" s="116" t="s">
        <v>39</v>
      </c>
      <c r="L50" s="95"/>
      <c r="M50" s="95"/>
      <c r="N50" s="87"/>
      <c r="O50" s="220"/>
      <c r="P50" s="220"/>
      <c r="Q50" s="95"/>
      <c r="R50" s="95"/>
      <c r="S50" s="95"/>
      <c r="T50" s="89"/>
      <c r="U50" s="95"/>
      <c r="V50" s="89"/>
      <c r="W50" s="118"/>
      <c r="X50" s="86"/>
    </row>
    <row r="51" spans="1:24" s="85" customFormat="1" ht="25.15" customHeight="1">
      <c r="A51" s="111"/>
      <c r="B51" s="113">
        <v>39</v>
      </c>
      <c r="C51" s="217"/>
      <c r="D51" s="96">
        <v>1</v>
      </c>
      <c r="E51" s="79">
        <v>495622</v>
      </c>
      <c r="F51" s="102" t="s">
        <v>106</v>
      </c>
      <c r="G51" s="222" t="s">
        <v>107</v>
      </c>
      <c r="H51" s="222"/>
      <c r="I51" s="222"/>
      <c r="J51" s="222"/>
      <c r="K51" s="80" t="s">
        <v>39</v>
      </c>
      <c r="L51" s="148"/>
      <c r="M51" s="96"/>
      <c r="N51" s="82"/>
      <c r="O51" s="183"/>
      <c r="P51" s="183"/>
      <c r="Q51" s="96"/>
      <c r="R51" s="96"/>
      <c r="S51" s="96"/>
      <c r="T51" s="84"/>
      <c r="U51" s="96"/>
      <c r="V51" s="84"/>
      <c r="W51" s="120"/>
      <c r="X51" s="86"/>
    </row>
    <row r="52" spans="1:24" s="85" customFormat="1" ht="25.15" customHeight="1" thickBot="1">
      <c r="A52" s="111"/>
      <c r="B52" s="119">
        <v>40</v>
      </c>
      <c r="C52" s="217"/>
      <c r="D52" s="96">
        <v>0</v>
      </c>
      <c r="E52" s="79">
        <v>495071</v>
      </c>
      <c r="F52" s="102" t="s">
        <v>40</v>
      </c>
      <c r="G52" s="221" t="s">
        <v>108</v>
      </c>
      <c r="H52" s="221"/>
      <c r="I52" s="221"/>
      <c r="J52" s="221"/>
      <c r="K52" s="102" t="s">
        <v>40</v>
      </c>
      <c r="L52" s="96"/>
      <c r="M52" s="96"/>
      <c r="N52" s="82"/>
      <c r="O52" s="183"/>
      <c r="P52" s="183"/>
      <c r="Q52" s="96"/>
      <c r="R52" s="96"/>
      <c r="S52" s="96"/>
      <c r="T52" s="84"/>
      <c r="U52" s="96"/>
      <c r="V52" s="84"/>
      <c r="W52" s="120"/>
      <c r="X52" s="86"/>
    </row>
    <row r="53" spans="1:24" s="85" customFormat="1" ht="25.15" customHeight="1">
      <c r="A53" s="111"/>
      <c r="B53" s="113">
        <v>41</v>
      </c>
      <c r="C53" s="217"/>
      <c r="D53" s="96">
        <v>1</v>
      </c>
      <c r="E53" s="79">
        <v>495617</v>
      </c>
      <c r="F53" s="102" t="s">
        <v>109</v>
      </c>
      <c r="G53" s="222" t="s">
        <v>110</v>
      </c>
      <c r="H53" s="222"/>
      <c r="I53" s="222"/>
      <c r="J53" s="222"/>
      <c r="K53" s="80" t="s">
        <v>39</v>
      </c>
      <c r="L53" s="148"/>
      <c r="M53" s="96"/>
      <c r="N53" s="82"/>
      <c r="O53" s="183"/>
      <c r="P53" s="183"/>
      <c r="Q53" s="96"/>
      <c r="R53" s="96"/>
      <c r="S53" s="96"/>
      <c r="T53" s="84"/>
      <c r="U53" s="96"/>
      <c r="V53" s="84"/>
      <c r="W53" s="120"/>
      <c r="X53" s="86"/>
    </row>
    <row r="54" spans="1:24" s="85" customFormat="1" ht="25.15" customHeight="1" thickBot="1">
      <c r="A54" s="111"/>
      <c r="B54" s="119">
        <v>42</v>
      </c>
      <c r="C54" s="217"/>
      <c r="D54" s="96">
        <v>0</v>
      </c>
      <c r="E54" s="79">
        <v>495619</v>
      </c>
      <c r="F54" s="102" t="s">
        <v>40</v>
      </c>
      <c r="G54" s="221" t="s">
        <v>111</v>
      </c>
      <c r="H54" s="221"/>
      <c r="I54" s="221"/>
      <c r="J54" s="221"/>
      <c r="K54" s="102" t="s">
        <v>40</v>
      </c>
      <c r="L54" s="96"/>
      <c r="M54" s="103"/>
      <c r="N54" s="82"/>
      <c r="O54" s="183"/>
      <c r="P54" s="183"/>
      <c r="Q54" s="96"/>
      <c r="R54" s="96"/>
      <c r="S54" s="96"/>
      <c r="T54" s="84"/>
      <c r="U54" s="96"/>
      <c r="V54" s="84"/>
      <c r="W54" s="120"/>
      <c r="X54" s="86"/>
    </row>
    <row r="55" spans="1:24" s="85" customFormat="1" ht="25.15" customHeight="1">
      <c r="A55" s="111"/>
      <c r="B55" s="113">
        <v>43</v>
      </c>
      <c r="C55" s="217"/>
      <c r="D55" s="97">
        <v>1</v>
      </c>
      <c r="E55" s="106">
        <v>496062</v>
      </c>
      <c r="F55" s="105" t="s">
        <v>112</v>
      </c>
      <c r="G55" s="223" t="s">
        <v>113</v>
      </c>
      <c r="H55" s="223"/>
      <c r="I55" s="223"/>
      <c r="J55" s="223"/>
      <c r="K55" s="107" t="s">
        <v>39</v>
      </c>
      <c r="L55" s="96"/>
      <c r="M55" s="103"/>
      <c r="N55" s="82"/>
      <c r="O55" s="183"/>
      <c r="P55" s="183"/>
      <c r="Q55" s="96"/>
      <c r="R55" s="96"/>
      <c r="S55" s="96"/>
      <c r="T55" s="84"/>
      <c r="U55" s="96"/>
      <c r="V55" s="84"/>
      <c r="W55" s="120"/>
      <c r="X55" s="86"/>
    </row>
    <row r="56" spans="1:24" s="85" customFormat="1" ht="25.15" customHeight="1" thickBot="1">
      <c r="A56" s="111"/>
      <c r="B56" s="119">
        <v>44</v>
      </c>
      <c r="C56" s="230"/>
      <c r="D56" s="164">
        <v>1</v>
      </c>
      <c r="E56" s="165">
        <v>501130</v>
      </c>
      <c r="F56" s="166" t="s">
        <v>114</v>
      </c>
      <c r="G56" s="253" t="s">
        <v>115</v>
      </c>
      <c r="H56" s="254"/>
      <c r="I56" s="254"/>
      <c r="J56" s="255"/>
      <c r="K56" s="167" t="s">
        <v>39</v>
      </c>
      <c r="L56" s="155"/>
      <c r="M56" s="168"/>
      <c r="N56" s="158"/>
      <c r="O56" s="155"/>
      <c r="P56" s="155"/>
      <c r="Q56" s="155"/>
      <c r="R56" s="155"/>
      <c r="S56" s="155"/>
      <c r="T56" s="160"/>
      <c r="U56" s="155"/>
      <c r="V56" s="160"/>
      <c r="W56" s="161"/>
      <c r="X56" s="86"/>
    </row>
    <row r="57" spans="1:24" s="85" customFormat="1" ht="25.15" customHeight="1">
      <c r="A57" s="111"/>
      <c r="B57" s="113">
        <v>45</v>
      </c>
      <c r="C57" s="230"/>
      <c r="D57" s="164">
        <v>1</v>
      </c>
      <c r="E57" s="165">
        <v>495075</v>
      </c>
      <c r="F57" s="166" t="s">
        <v>116</v>
      </c>
      <c r="G57" s="253" t="s">
        <v>117</v>
      </c>
      <c r="H57" s="254"/>
      <c r="I57" s="254"/>
      <c r="J57" s="255"/>
      <c r="K57" s="167" t="s">
        <v>39</v>
      </c>
      <c r="L57" s="155"/>
      <c r="M57" s="168"/>
      <c r="N57" s="158"/>
      <c r="O57" s="155"/>
      <c r="P57" s="155"/>
      <c r="Q57" s="155"/>
      <c r="R57" s="155"/>
      <c r="S57" s="155"/>
      <c r="T57" s="160"/>
      <c r="U57" s="155"/>
      <c r="V57" s="160"/>
      <c r="W57" s="161"/>
      <c r="X57" s="86"/>
    </row>
    <row r="58" spans="1:24" s="85" customFormat="1" ht="25.15" customHeight="1" thickBot="1">
      <c r="A58" s="111"/>
      <c r="B58" s="119">
        <v>46</v>
      </c>
      <c r="C58" s="218"/>
      <c r="D58" s="90">
        <v>17</v>
      </c>
      <c r="E58" s="123">
        <v>495623</v>
      </c>
      <c r="F58" s="124" t="s">
        <v>118</v>
      </c>
      <c r="G58" s="186" t="s">
        <v>119</v>
      </c>
      <c r="H58" s="186"/>
      <c r="I58" s="186"/>
      <c r="J58" s="186"/>
      <c r="K58" s="124" t="s">
        <v>39</v>
      </c>
      <c r="L58" s="153"/>
      <c r="M58" s="133"/>
      <c r="N58" s="91"/>
      <c r="O58" s="225"/>
      <c r="P58" s="225"/>
      <c r="Q58" s="90"/>
      <c r="R58" s="92"/>
      <c r="S58" s="90"/>
      <c r="T58" s="93"/>
      <c r="U58" s="90"/>
      <c r="V58" s="93"/>
      <c r="W58" s="125"/>
      <c r="X58" s="86"/>
    </row>
    <row r="59" spans="1:24" s="85" customFormat="1" ht="25.15" customHeight="1">
      <c r="A59" s="111"/>
      <c r="B59" s="113">
        <v>47</v>
      </c>
      <c r="C59" s="216" t="s">
        <v>120</v>
      </c>
      <c r="D59" s="95">
        <v>1</v>
      </c>
      <c r="E59" s="114">
        <v>507185</v>
      </c>
      <c r="F59" s="126" t="s">
        <v>121</v>
      </c>
      <c r="G59" s="232" t="s">
        <v>122</v>
      </c>
      <c r="H59" s="232"/>
      <c r="I59" s="232"/>
      <c r="J59" s="232"/>
      <c r="K59" s="126" t="s">
        <v>78</v>
      </c>
      <c r="L59" s="131"/>
      <c r="M59" s="131"/>
      <c r="N59" s="87"/>
      <c r="O59" s="220"/>
      <c r="P59" s="220"/>
      <c r="Q59" s="95"/>
      <c r="R59" s="117"/>
      <c r="S59" s="95"/>
      <c r="T59" s="89"/>
      <c r="U59" s="95"/>
      <c r="V59" s="89"/>
      <c r="W59" s="118"/>
      <c r="X59" s="86"/>
    </row>
    <row r="60" spans="1:24" s="85" customFormat="1" ht="25.15" customHeight="1" thickBot="1">
      <c r="A60" s="111"/>
      <c r="B60" s="119">
        <v>48</v>
      </c>
      <c r="C60" s="217"/>
      <c r="D60" s="96">
        <v>1</v>
      </c>
      <c r="E60" s="79">
        <v>651722</v>
      </c>
      <c r="F60" s="102" t="s">
        <v>123</v>
      </c>
      <c r="G60" s="221" t="s">
        <v>124</v>
      </c>
      <c r="H60" s="221"/>
      <c r="I60" s="221"/>
      <c r="J60" s="221"/>
      <c r="K60" s="102" t="s">
        <v>78</v>
      </c>
      <c r="L60" s="103"/>
      <c r="M60" s="103"/>
      <c r="N60" s="82"/>
      <c r="O60" s="183"/>
      <c r="P60" s="183"/>
      <c r="Q60" s="96"/>
      <c r="R60" s="101"/>
      <c r="S60" s="96"/>
      <c r="T60" s="84"/>
      <c r="U60" s="96"/>
      <c r="V60" s="84"/>
      <c r="W60" s="120"/>
      <c r="X60" s="86"/>
    </row>
    <row r="61" spans="1:24" s="85" customFormat="1" ht="25.15" customHeight="1">
      <c r="A61" s="111"/>
      <c r="B61" s="113">
        <v>49</v>
      </c>
      <c r="C61" s="217"/>
      <c r="D61" s="96">
        <v>5</v>
      </c>
      <c r="E61" s="79" t="s">
        <v>40</v>
      </c>
      <c r="F61" s="102" t="s">
        <v>40</v>
      </c>
      <c r="G61" s="222" t="s">
        <v>125</v>
      </c>
      <c r="H61" s="222"/>
      <c r="I61" s="222"/>
      <c r="J61" s="222"/>
      <c r="K61" s="102" t="s">
        <v>78</v>
      </c>
      <c r="L61" s="103"/>
      <c r="M61" s="103"/>
      <c r="N61" s="82"/>
      <c r="O61" s="183"/>
      <c r="P61" s="183"/>
      <c r="Q61" s="96"/>
      <c r="R61" s="83"/>
      <c r="S61" s="96"/>
      <c r="T61" s="84"/>
      <c r="U61" s="96"/>
      <c r="V61" s="84"/>
      <c r="W61" s="120"/>
      <c r="X61" s="86"/>
    </row>
    <row r="62" spans="1:24" s="85" customFormat="1" ht="25.15" customHeight="1" thickBot="1">
      <c r="A62" s="111"/>
      <c r="B62" s="119">
        <v>50</v>
      </c>
      <c r="C62" s="217"/>
      <c r="D62" s="96">
        <v>1</v>
      </c>
      <c r="E62" s="79">
        <v>495022</v>
      </c>
      <c r="F62" s="102" t="s">
        <v>126</v>
      </c>
      <c r="G62" s="221" t="s">
        <v>127</v>
      </c>
      <c r="H62" s="221"/>
      <c r="I62" s="221"/>
      <c r="J62" s="221"/>
      <c r="K62" s="102" t="s">
        <v>39</v>
      </c>
      <c r="L62" s="148"/>
      <c r="M62" s="96"/>
      <c r="N62" s="82"/>
      <c r="O62" s="183"/>
      <c r="P62" s="183"/>
      <c r="Q62" s="96"/>
      <c r="R62" s="83"/>
      <c r="S62" s="84"/>
      <c r="T62" s="84"/>
      <c r="U62" s="96"/>
      <c r="V62" s="84"/>
      <c r="W62" s="120"/>
      <c r="X62" s="86"/>
    </row>
    <row r="63" spans="1:24" s="85" customFormat="1" ht="25.15" customHeight="1">
      <c r="A63" s="111"/>
      <c r="B63" s="113">
        <v>51</v>
      </c>
      <c r="C63" s="217"/>
      <c r="D63" s="96">
        <v>1</v>
      </c>
      <c r="E63" s="79">
        <v>495023</v>
      </c>
      <c r="F63" s="102" t="s">
        <v>128</v>
      </c>
      <c r="G63" s="222" t="s">
        <v>129</v>
      </c>
      <c r="H63" s="222"/>
      <c r="I63" s="222"/>
      <c r="J63" s="222"/>
      <c r="K63" s="102" t="s">
        <v>39</v>
      </c>
      <c r="L63" s="148"/>
      <c r="M63" s="96"/>
      <c r="N63" s="82"/>
      <c r="O63" s="183"/>
      <c r="P63" s="183"/>
      <c r="Q63" s="96"/>
      <c r="R63" s="83"/>
      <c r="S63" s="84"/>
      <c r="T63" s="84"/>
      <c r="U63" s="96"/>
      <c r="V63" s="84"/>
      <c r="W63" s="120"/>
      <c r="X63" s="86"/>
    </row>
    <row r="64" spans="1:24" s="85" customFormat="1" ht="25.15" customHeight="1" thickBot="1">
      <c r="A64" s="111"/>
      <c r="B64" s="119">
        <v>52</v>
      </c>
      <c r="C64" s="217"/>
      <c r="D64" s="96">
        <v>2</v>
      </c>
      <c r="E64" s="79" t="s">
        <v>40</v>
      </c>
      <c r="F64" s="102" t="s">
        <v>40</v>
      </c>
      <c r="G64" s="222" t="s">
        <v>125</v>
      </c>
      <c r="H64" s="222"/>
      <c r="I64" s="222"/>
      <c r="J64" s="222"/>
      <c r="K64" s="102" t="s">
        <v>39</v>
      </c>
      <c r="L64" s="96"/>
      <c r="M64" s="96"/>
      <c r="N64" s="82"/>
      <c r="O64" s="183"/>
      <c r="P64" s="183"/>
      <c r="Q64" s="96"/>
      <c r="R64" s="83"/>
      <c r="S64" s="84"/>
      <c r="T64" s="84"/>
      <c r="U64" s="96"/>
      <c r="V64" s="84"/>
      <c r="W64" s="120"/>
      <c r="X64" s="86"/>
    </row>
    <row r="65" spans="1:24" s="85" customFormat="1" ht="25.15" customHeight="1">
      <c r="A65" s="111"/>
      <c r="B65" s="113">
        <v>53</v>
      </c>
      <c r="C65" s="217"/>
      <c r="D65" s="96">
        <v>1</v>
      </c>
      <c r="E65" s="79">
        <v>495031</v>
      </c>
      <c r="F65" s="102" t="s">
        <v>130</v>
      </c>
      <c r="G65" s="221" t="s">
        <v>131</v>
      </c>
      <c r="H65" s="221"/>
      <c r="I65" s="221"/>
      <c r="J65" s="221"/>
      <c r="K65" s="80" t="s">
        <v>78</v>
      </c>
      <c r="L65" s="96"/>
      <c r="M65" s="103"/>
      <c r="N65" s="82"/>
      <c r="O65" s="183"/>
      <c r="P65" s="183"/>
      <c r="Q65" s="96"/>
      <c r="R65" s="101"/>
      <c r="S65" s="84"/>
      <c r="T65" s="84"/>
      <c r="U65" s="96"/>
      <c r="V65" s="84"/>
      <c r="W65" s="120"/>
      <c r="X65" s="86"/>
    </row>
    <row r="66" spans="1:24" s="85" customFormat="1" ht="25.15" customHeight="1" thickBot="1">
      <c r="A66" s="111"/>
      <c r="B66" s="119">
        <v>54</v>
      </c>
      <c r="C66" s="217"/>
      <c r="D66" s="96">
        <v>1</v>
      </c>
      <c r="E66" s="79">
        <v>32216</v>
      </c>
      <c r="F66" s="102" t="s">
        <v>132</v>
      </c>
      <c r="G66" s="222" t="s">
        <v>133</v>
      </c>
      <c r="H66" s="222"/>
      <c r="I66" s="222"/>
      <c r="J66" s="222"/>
      <c r="K66" s="80" t="s">
        <v>78</v>
      </c>
      <c r="L66" s="96"/>
      <c r="M66" s="96"/>
      <c r="N66" s="82"/>
      <c r="O66" s="183"/>
      <c r="P66" s="183"/>
      <c r="Q66" s="96"/>
      <c r="R66" s="96"/>
      <c r="S66" s="84"/>
      <c r="T66" s="84"/>
      <c r="U66" s="96"/>
      <c r="V66" s="84"/>
      <c r="W66" s="120"/>
      <c r="X66" s="86"/>
    </row>
    <row r="67" spans="1:24" s="85" customFormat="1" ht="25.15" customHeight="1">
      <c r="A67" s="111"/>
      <c r="B67" s="113">
        <v>55</v>
      </c>
      <c r="C67" s="217"/>
      <c r="D67" s="96">
        <v>0</v>
      </c>
      <c r="E67" s="79">
        <v>495031</v>
      </c>
      <c r="F67" s="102" t="s">
        <v>40</v>
      </c>
      <c r="G67" s="221" t="s">
        <v>131</v>
      </c>
      <c r="H67" s="221"/>
      <c r="I67" s="221"/>
      <c r="J67" s="221"/>
      <c r="K67" s="80" t="s">
        <v>40</v>
      </c>
      <c r="L67" s="96"/>
      <c r="M67" s="96"/>
      <c r="N67" s="82"/>
      <c r="O67" s="183"/>
      <c r="P67" s="183"/>
      <c r="Q67" s="96"/>
      <c r="R67" s="96"/>
      <c r="S67" s="96"/>
      <c r="T67" s="84"/>
      <c r="U67" s="96"/>
      <c r="V67" s="84"/>
      <c r="W67" s="120"/>
      <c r="X67" s="86"/>
    </row>
    <row r="68" spans="1:24" s="85" customFormat="1" ht="25.15" customHeight="1" thickBot="1">
      <c r="A68" s="111"/>
      <c r="B68" s="119">
        <v>56</v>
      </c>
      <c r="C68" s="217"/>
      <c r="D68" s="96">
        <v>0</v>
      </c>
      <c r="E68" s="79">
        <v>495032</v>
      </c>
      <c r="F68" s="102" t="s">
        <v>40</v>
      </c>
      <c r="G68" s="222" t="s">
        <v>133</v>
      </c>
      <c r="H68" s="222"/>
      <c r="I68" s="222"/>
      <c r="J68" s="222"/>
      <c r="K68" s="80" t="s">
        <v>40</v>
      </c>
      <c r="L68" s="96"/>
      <c r="M68" s="96"/>
      <c r="N68" s="82"/>
      <c r="O68" s="183"/>
      <c r="P68" s="183"/>
      <c r="Q68" s="96"/>
      <c r="R68" s="96"/>
      <c r="S68" s="96"/>
      <c r="T68" s="84"/>
      <c r="U68" s="96"/>
      <c r="V68" s="84"/>
      <c r="W68" s="120"/>
      <c r="X68" s="134"/>
    </row>
    <row r="69" spans="1:24" s="85" customFormat="1" ht="25.15" customHeight="1">
      <c r="A69" s="111"/>
      <c r="B69" s="113">
        <v>57</v>
      </c>
      <c r="C69" s="217"/>
      <c r="D69" s="96">
        <v>0</v>
      </c>
      <c r="E69" s="79">
        <v>495035</v>
      </c>
      <c r="F69" s="102" t="s">
        <v>40</v>
      </c>
      <c r="G69" s="222" t="s">
        <v>134</v>
      </c>
      <c r="H69" s="222"/>
      <c r="I69" s="222"/>
      <c r="J69" s="222"/>
      <c r="K69" s="80" t="s">
        <v>40</v>
      </c>
      <c r="L69" s="96"/>
      <c r="M69" s="96"/>
      <c r="N69" s="82"/>
      <c r="O69" s="183"/>
      <c r="P69" s="183"/>
      <c r="Q69" s="96"/>
      <c r="R69" s="96"/>
      <c r="S69" s="96"/>
      <c r="T69" s="84"/>
      <c r="U69" s="96"/>
      <c r="V69" s="84"/>
      <c r="W69" s="120"/>
      <c r="X69" s="86"/>
    </row>
    <row r="70" spans="1:24" s="85" customFormat="1" ht="25.15" customHeight="1" thickBot="1">
      <c r="A70" s="111"/>
      <c r="B70" s="119">
        <v>58</v>
      </c>
      <c r="C70" s="217"/>
      <c r="D70" s="96">
        <v>0</v>
      </c>
      <c r="E70" s="79">
        <v>495041</v>
      </c>
      <c r="F70" s="102" t="s">
        <v>40</v>
      </c>
      <c r="G70" s="221" t="s">
        <v>135</v>
      </c>
      <c r="H70" s="221"/>
      <c r="I70" s="221"/>
      <c r="J70" s="221"/>
      <c r="K70" s="80" t="s">
        <v>40</v>
      </c>
      <c r="L70" s="96"/>
      <c r="M70" s="96"/>
      <c r="N70" s="82"/>
      <c r="O70" s="183"/>
      <c r="P70" s="183"/>
      <c r="Q70" s="96"/>
      <c r="R70" s="96"/>
      <c r="S70" s="96"/>
      <c r="T70" s="84"/>
      <c r="U70" s="96"/>
      <c r="V70" s="84"/>
      <c r="W70" s="120"/>
      <c r="X70" s="86"/>
    </row>
    <row r="71" spans="1:24" s="85" customFormat="1" ht="25.15" customHeight="1" thickBot="1">
      <c r="A71" s="111"/>
      <c r="B71" s="113">
        <v>59</v>
      </c>
      <c r="C71" s="218"/>
      <c r="D71" s="90">
        <v>0</v>
      </c>
      <c r="E71" s="123">
        <v>495042</v>
      </c>
      <c r="F71" s="124" t="s">
        <v>40</v>
      </c>
      <c r="G71" s="186" t="s">
        <v>136</v>
      </c>
      <c r="H71" s="186"/>
      <c r="I71" s="186"/>
      <c r="J71" s="186"/>
      <c r="K71" s="81" t="s">
        <v>40</v>
      </c>
      <c r="L71" s="90"/>
      <c r="M71" s="90"/>
      <c r="N71" s="91"/>
      <c r="O71" s="225"/>
      <c r="P71" s="225"/>
      <c r="Q71" s="90"/>
      <c r="R71" s="90"/>
      <c r="S71" s="90"/>
      <c r="T71" s="93"/>
      <c r="U71" s="90"/>
      <c r="V71" s="93"/>
      <c r="W71" s="125"/>
      <c r="X71" s="86"/>
    </row>
    <row r="72" spans="1:24" s="85" customFormat="1" ht="25.15" customHeight="1" thickBot="1">
      <c r="A72" s="111"/>
      <c r="B72" s="119">
        <v>60</v>
      </c>
      <c r="C72" s="216" t="s">
        <v>137</v>
      </c>
      <c r="D72" s="95">
        <v>1</v>
      </c>
      <c r="E72" s="114">
        <v>495008</v>
      </c>
      <c r="F72" s="126" t="s">
        <v>138</v>
      </c>
      <c r="G72" s="232" t="s">
        <v>139</v>
      </c>
      <c r="H72" s="232"/>
      <c r="I72" s="232"/>
      <c r="J72" s="232"/>
      <c r="K72" s="116" t="s">
        <v>39</v>
      </c>
      <c r="L72" s="95"/>
      <c r="M72" s="95"/>
      <c r="N72" s="87"/>
      <c r="O72" s="220"/>
      <c r="P72" s="220"/>
      <c r="Q72" s="95"/>
      <c r="R72" s="88"/>
      <c r="S72" s="95"/>
      <c r="T72" s="89"/>
      <c r="U72" s="95"/>
      <c r="V72" s="89"/>
      <c r="W72" s="118"/>
      <c r="X72" s="86"/>
    </row>
    <row r="73" spans="1:24" s="85" customFormat="1" ht="25.15" customHeight="1" thickBot="1">
      <c r="A73" s="111"/>
      <c r="B73" s="170"/>
      <c r="C73" s="233"/>
      <c r="D73" s="171">
        <v>1</v>
      </c>
      <c r="E73" s="114">
        <v>495008</v>
      </c>
      <c r="F73" s="126" t="s">
        <v>140</v>
      </c>
      <c r="G73" s="232" t="s">
        <v>139</v>
      </c>
      <c r="H73" s="232"/>
      <c r="I73" s="232"/>
      <c r="J73" s="232"/>
      <c r="K73" s="172" t="s">
        <v>78</v>
      </c>
      <c r="L73" s="171"/>
      <c r="M73" s="171"/>
      <c r="N73" s="173"/>
      <c r="O73" s="171"/>
      <c r="P73" s="171"/>
      <c r="Q73" s="171"/>
      <c r="R73" s="174"/>
      <c r="S73" s="171"/>
      <c r="T73" s="175"/>
      <c r="U73" s="171"/>
      <c r="V73" s="175"/>
      <c r="W73" s="176"/>
      <c r="X73" s="86"/>
    </row>
    <row r="74" spans="1:24" s="85" customFormat="1" ht="25.15" customHeight="1">
      <c r="A74" s="111"/>
      <c r="B74" s="113">
        <v>61</v>
      </c>
      <c r="C74" s="217"/>
      <c r="D74" s="96">
        <v>2</v>
      </c>
      <c r="E74" s="79" t="s">
        <v>40</v>
      </c>
      <c r="F74" s="102" t="s">
        <v>40</v>
      </c>
      <c r="G74" s="222" t="s">
        <v>141</v>
      </c>
      <c r="H74" s="222"/>
      <c r="I74" s="222"/>
      <c r="J74" s="222"/>
      <c r="K74" s="80" t="s">
        <v>39</v>
      </c>
      <c r="L74" s="96"/>
      <c r="M74" s="96"/>
      <c r="N74" s="82"/>
      <c r="O74" s="183"/>
      <c r="P74" s="183"/>
      <c r="Q74" s="96"/>
      <c r="R74" s="83"/>
      <c r="S74" s="96"/>
      <c r="T74" s="84"/>
      <c r="U74" s="96"/>
      <c r="V74" s="84"/>
      <c r="W74" s="120"/>
      <c r="X74" s="86"/>
    </row>
    <row r="75" spans="1:24" s="85" customFormat="1" ht="25.15" customHeight="1" thickBot="1">
      <c r="A75" s="111"/>
      <c r="B75" s="119">
        <v>62</v>
      </c>
      <c r="C75" s="217"/>
      <c r="D75" s="96">
        <v>1</v>
      </c>
      <c r="E75" s="79" t="s">
        <v>40</v>
      </c>
      <c r="F75" s="102" t="s">
        <v>40</v>
      </c>
      <c r="G75" s="222" t="s">
        <v>142</v>
      </c>
      <c r="H75" s="222"/>
      <c r="I75" s="222"/>
      <c r="J75" s="222"/>
      <c r="K75" s="80" t="s">
        <v>39</v>
      </c>
      <c r="L75" s="96"/>
      <c r="M75" s="96"/>
      <c r="N75" s="82"/>
      <c r="O75" s="183"/>
      <c r="P75" s="183"/>
      <c r="Q75" s="96"/>
      <c r="R75" s="96"/>
      <c r="S75" s="96"/>
      <c r="T75" s="84"/>
      <c r="U75" s="96"/>
      <c r="V75" s="84"/>
      <c r="W75" s="120"/>
      <c r="X75" s="86"/>
    </row>
    <row r="76" spans="1:24" s="85" customFormat="1" ht="25.15" customHeight="1">
      <c r="A76" s="111"/>
      <c r="B76" s="113">
        <v>63</v>
      </c>
      <c r="C76" s="217"/>
      <c r="D76" s="96">
        <v>1</v>
      </c>
      <c r="E76" s="79" t="s">
        <v>40</v>
      </c>
      <c r="F76" s="102" t="s">
        <v>40</v>
      </c>
      <c r="G76" s="222" t="s">
        <v>143</v>
      </c>
      <c r="H76" s="222"/>
      <c r="I76" s="222"/>
      <c r="J76" s="222"/>
      <c r="K76" s="80" t="s">
        <v>39</v>
      </c>
      <c r="L76" s="96"/>
      <c r="M76" s="96"/>
      <c r="N76" s="82"/>
      <c r="O76" s="183"/>
      <c r="P76" s="183"/>
      <c r="Q76" s="96"/>
      <c r="R76" s="96"/>
      <c r="S76" s="96"/>
      <c r="T76" s="84"/>
      <c r="U76" s="96"/>
      <c r="V76" s="84"/>
      <c r="W76" s="120"/>
      <c r="X76" s="86"/>
    </row>
    <row r="77" spans="1:24" s="85" customFormat="1" ht="25.15" customHeight="1" thickBot="1">
      <c r="A77" s="111"/>
      <c r="B77" s="119">
        <v>64</v>
      </c>
      <c r="C77" s="217"/>
      <c r="D77" s="96">
        <v>1</v>
      </c>
      <c r="E77" s="79" t="s">
        <v>40</v>
      </c>
      <c r="F77" s="100" t="s">
        <v>40</v>
      </c>
      <c r="G77" s="222" t="s">
        <v>144</v>
      </c>
      <c r="H77" s="222"/>
      <c r="I77" s="222"/>
      <c r="J77" s="222"/>
      <c r="K77" s="80" t="s">
        <v>39</v>
      </c>
      <c r="L77" s="96"/>
      <c r="M77" s="96"/>
      <c r="N77" s="82"/>
      <c r="O77" s="183"/>
      <c r="P77" s="183"/>
      <c r="Q77" s="96"/>
      <c r="R77" s="96"/>
      <c r="S77" s="96"/>
      <c r="T77" s="84"/>
      <c r="U77" s="96"/>
      <c r="V77" s="84"/>
      <c r="W77" s="120"/>
      <c r="X77" s="86"/>
    </row>
    <row r="78" spans="1:24" s="85" customFormat="1" ht="25.15" customHeight="1">
      <c r="A78" s="135" t="s">
        <v>145</v>
      </c>
      <c r="B78" s="113">
        <v>65</v>
      </c>
      <c r="C78" s="217"/>
      <c r="D78" s="96">
        <v>1</v>
      </c>
      <c r="E78" s="79">
        <v>498056</v>
      </c>
      <c r="F78" s="102" t="s">
        <v>146</v>
      </c>
      <c r="G78" s="221" t="s">
        <v>147</v>
      </c>
      <c r="H78" s="221"/>
      <c r="I78" s="221"/>
      <c r="J78" s="221"/>
      <c r="K78" s="80" t="s">
        <v>39</v>
      </c>
      <c r="L78" s="96"/>
      <c r="M78" s="96"/>
      <c r="N78" s="82"/>
      <c r="O78" s="183"/>
      <c r="P78" s="183"/>
      <c r="Q78" s="96"/>
      <c r="R78" s="83"/>
      <c r="S78" s="96"/>
      <c r="T78" s="84"/>
      <c r="U78" s="96"/>
      <c r="V78" s="84"/>
      <c r="W78" s="120"/>
      <c r="X78" s="86"/>
    </row>
    <row r="79" spans="1:24" s="85" customFormat="1" ht="25.15" customHeight="1">
      <c r="A79" s="135"/>
      <c r="B79" s="170"/>
      <c r="C79" s="217"/>
      <c r="D79" s="96">
        <v>1</v>
      </c>
      <c r="E79" s="79">
        <v>498056</v>
      </c>
      <c r="F79" s="102" t="s">
        <v>148</v>
      </c>
      <c r="G79" s="221" t="s">
        <v>147</v>
      </c>
      <c r="H79" s="221"/>
      <c r="I79" s="221"/>
      <c r="J79" s="221"/>
      <c r="K79" s="80" t="s">
        <v>149</v>
      </c>
      <c r="L79" s="96"/>
      <c r="M79" s="96"/>
      <c r="N79" s="82"/>
      <c r="O79" s="96"/>
      <c r="P79" s="96"/>
      <c r="Q79" s="96"/>
      <c r="R79" s="83"/>
      <c r="S79" s="96"/>
      <c r="T79" s="84"/>
      <c r="U79" s="96"/>
      <c r="V79" s="84"/>
      <c r="W79" s="120"/>
      <c r="X79" s="86"/>
    </row>
    <row r="80" spans="1:24" s="85" customFormat="1" ht="25.15" customHeight="1" thickBot="1">
      <c r="A80" s="135" t="s">
        <v>150</v>
      </c>
      <c r="B80" s="119">
        <v>66</v>
      </c>
      <c r="C80" s="217"/>
      <c r="D80" s="96">
        <v>2</v>
      </c>
      <c r="E80" s="79" t="s">
        <v>40</v>
      </c>
      <c r="F80" s="102" t="s">
        <v>40</v>
      </c>
      <c r="G80" s="222" t="s">
        <v>151</v>
      </c>
      <c r="H80" s="222"/>
      <c r="I80" s="222"/>
      <c r="J80" s="222"/>
      <c r="K80" s="80" t="s">
        <v>149</v>
      </c>
      <c r="L80" s="96"/>
      <c r="M80" s="96"/>
      <c r="N80" s="82"/>
      <c r="O80" s="183"/>
      <c r="P80" s="183"/>
      <c r="Q80" s="96"/>
      <c r="R80" s="96"/>
      <c r="S80" s="96"/>
      <c r="T80" s="84"/>
      <c r="U80" s="96"/>
      <c r="V80" s="84"/>
      <c r="W80" s="120"/>
      <c r="X80" s="86"/>
    </row>
    <row r="81" spans="1:24" s="85" customFormat="1" ht="25.15" customHeight="1">
      <c r="A81" s="135" t="s">
        <v>152</v>
      </c>
      <c r="B81" s="113">
        <v>67</v>
      </c>
      <c r="C81" s="217"/>
      <c r="D81" s="96">
        <v>1</v>
      </c>
      <c r="E81" s="79" t="s">
        <v>40</v>
      </c>
      <c r="F81" s="102" t="s">
        <v>40</v>
      </c>
      <c r="G81" s="222" t="s">
        <v>153</v>
      </c>
      <c r="H81" s="222"/>
      <c r="I81" s="222"/>
      <c r="J81" s="222"/>
      <c r="K81" s="80" t="s">
        <v>149</v>
      </c>
      <c r="L81" s="96"/>
      <c r="M81" s="96"/>
      <c r="N81" s="82"/>
      <c r="O81" s="183"/>
      <c r="P81" s="183"/>
      <c r="Q81" s="96"/>
      <c r="R81" s="83"/>
      <c r="S81" s="96"/>
      <c r="T81" s="84"/>
      <c r="U81" s="96"/>
      <c r="V81" s="84"/>
      <c r="W81" s="120"/>
      <c r="X81" s="86"/>
    </row>
    <row r="82" spans="1:24" s="85" customFormat="1" ht="25.15" customHeight="1" thickBot="1">
      <c r="A82" s="135" t="s">
        <v>154</v>
      </c>
      <c r="B82" s="119">
        <v>68</v>
      </c>
      <c r="C82" s="217"/>
      <c r="D82" s="96">
        <v>1</v>
      </c>
      <c r="E82" s="79" t="s">
        <v>40</v>
      </c>
      <c r="F82" s="102" t="s">
        <v>40</v>
      </c>
      <c r="G82" s="222" t="s">
        <v>155</v>
      </c>
      <c r="H82" s="222"/>
      <c r="I82" s="222"/>
      <c r="J82" s="222"/>
      <c r="K82" s="80" t="s">
        <v>149</v>
      </c>
      <c r="L82" s="96"/>
      <c r="M82" s="96"/>
      <c r="N82" s="82"/>
      <c r="O82" s="183"/>
      <c r="P82" s="183"/>
      <c r="Q82" s="96"/>
      <c r="R82" s="83"/>
      <c r="S82" s="96"/>
      <c r="T82" s="84"/>
      <c r="U82" s="96"/>
      <c r="V82" s="84"/>
      <c r="W82" s="120"/>
      <c r="X82" s="86"/>
    </row>
    <row r="83" spans="1:24" s="85" customFormat="1" ht="25.15" customHeight="1">
      <c r="A83" s="135" t="s">
        <v>156</v>
      </c>
      <c r="B83" s="113">
        <v>69</v>
      </c>
      <c r="C83" s="217"/>
      <c r="D83" s="96">
        <v>1</v>
      </c>
      <c r="E83" s="79" t="s">
        <v>40</v>
      </c>
      <c r="F83" s="102" t="s">
        <v>40</v>
      </c>
      <c r="G83" s="222" t="s">
        <v>157</v>
      </c>
      <c r="H83" s="222"/>
      <c r="I83" s="222"/>
      <c r="J83" s="222"/>
      <c r="K83" s="80" t="s">
        <v>149</v>
      </c>
      <c r="L83" s="96"/>
      <c r="M83" s="96"/>
      <c r="N83" s="82"/>
      <c r="O83" s="183"/>
      <c r="P83" s="183"/>
      <c r="Q83" s="96"/>
      <c r="R83" s="96"/>
      <c r="S83" s="96"/>
      <c r="T83" s="84"/>
      <c r="U83" s="96"/>
      <c r="V83" s="84"/>
      <c r="W83" s="120"/>
      <c r="X83" s="86"/>
    </row>
    <row r="84" spans="1:24" s="85" customFormat="1" ht="25.15" customHeight="1" thickBot="1">
      <c r="A84" s="135" t="s">
        <v>158</v>
      </c>
      <c r="B84" s="119">
        <v>70</v>
      </c>
      <c r="C84" s="217"/>
      <c r="D84" s="96">
        <v>2</v>
      </c>
      <c r="E84" s="79" t="s">
        <v>40</v>
      </c>
      <c r="F84" s="102" t="s">
        <v>40</v>
      </c>
      <c r="G84" s="222" t="s">
        <v>159</v>
      </c>
      <c r="H84" s="222"/>
      <c r="I84" s="222"/>
      <c r="J84" s="222"/>
      <c r="K84" s="80" t="s">
        <v>39</v>
      </c>
      <c r="L84" s="96"/>
      <c r="M84" s="96"/>
      <c r="N84" s="82"/>
      <c r="O84" s="183"/>
      <c r="P84" s="183"/>
      <c r="Q84" s="96"/>
      <c r="R84" s="96"/>
      <c r="S84" s="96"/>
      <c r="T84" s="84"/>
      <c r="U84" s="96"/>
      <c r="V84" s="84"/>
      <c r="W84" s="120"/>
      <c r="X84" s="86"/>
    </row>
    <row r="85" spans="1:24" s="85" customFormat="1" ht="25.15" customHeight="1">
      <c r="A85" s="111"/>
      <c r="B85" s="113">
        <v>71</v>
      </c>
      <c r="C85" s="217"/>
      <c r="D85" s="96">
        <v>2</v>
      </c>
      <c r="E85" s="79" t="s">
        <v>40</v>
      </c>
      <c r="F85" s="102" t="s">
        <v>40</v>
      </c>
      <c r="G85" s="222" t="s">
        <v>159</v>
      </c>
      <c r="H85" s="222"/>
      <c r="I85" s="222"/>
      <c r="J85" s="222"/>
      <c r="K85" s="80" t="s">
        <v>39</v>
      </c>
      <c r="L85" s="96"/>
      <c r="M85" s="96"/>
      <c r="N85" s="82"/>
      <c r="O85" s="183"/>
      <c r="P85" s="183"/>
      <c r="Q85" s="96"/>
      <c r="R85" s="83"/>
      <c r="S85" s="96"/>
      <c r="T85" s="84"/>
      <c r="U85" s="96"/>
      <c r="V85" s="84"/>
      <c r="W85" s="120"/>
      <c r="X85" s="86"/>
    </row>
    <row r="86" spans="1:24" s="85" customFormat="1" ht="25.15" customHeight="1" thickBot="1">
      <c r="A86" s="111"/>
      <c r="B86" s="119">
        <v>72</v>
      </c>
      <c r="C86" s="217"/>
      <c r="D86" s="96">
        <v>2</v>
      </c>
      <c r="E86" s="79" t="s">
        <v>40</v>
      </c>
      <c r="F86" s="102" t="s">
        <v>40</v>
      </c>
      <c r="G86" s="222" t="s">
        <v>160</v>
      </c>
      <c r="H86" s="222"/>
      <c r="I86" s="222"/>
      <c r="J86" s="222"/>
      <c r="K86" s="80" t="s">
        <v>39</v>
      </c>
      <c r="L86" s="96"/>
      <c r="M86" s="96"/>
      <c r="N86" s="82"/>
      <c r="O86" s="183"/>
      <c r="P86" s="183"/>
      <c r="Q86" s="96"/>
      <c r="R86" s="83"/>
      <c r="S86" s="96"/>
      <c r="T86" s="84"/>
      <c r="U86" s="96"/>
      <c r="V86" s="84"/>
      <c r="W86" s="120"/>
      <c r="X86" s="86"/>
    </row>
    <row r="87" spans="1:24" s="85" customFormat="1" ht="25.15" customHeight="1">
      <c r="A87" s="111"/>
      <c r="B87" s="113">
        <v>73</v>
      </c>
      <c r="C87" s="217"/>
      <c r="D87" s="96">
        <v>2</v>
      </c>
      <c r="E87" s="79" t="s">
        <v>40</v>
      </c>
      <c r="F87" s="102" t="s">
        <v>40</v>
      </c>
      <c r="G87" s="222" t="s">
        <v>160</v>
      </c>
      <c r="H87" s="222"/>
      <c r="I87" s="222"/>
      <c r="J87" s="222"/>
      <c r="K87" s="80" t="s">
        <v>39</v>
      </c>
      <c r="L87" s="96"/>
      <c r="M87" s="96"/>
      <c r="N87" s="82"/>
      <c r="O87" s="183"/>
      <c r="P87" s="183"/>
      <c r="Q87" s="96"/>
      <c r="R87" s="83"/>
      <c r="S87" s="96"/>
      <c r="T87" s="84"/>
      <c r="U87" s="96"/>
      <c r="V87" s="84"/>
      <c r="W87" s="120"/>
      <c r="X87" s="86"/>
    </row>
    <row r="88" spans="1:24" s="85" customFormat="1" ht="25.15" customHeight="1" thickBot="1">
      <c r="A88" s="111"/>
      <c r="B88" s="119">
        <v>74</v>
      </c>
      <c r="C88" s="217"/>
      <c r="D88" s="96">
        <v>1</v>
      </c>
      <c r="E88" s="79" t="s">
        <v>40</v>
      </c>
      <c r="F88" s="102" t="s">
        <v>40</v>
      </c>
      <c r="G88" s="222" t="s">
        <v>161</v>
      </c>
      <c r="H88" s="222"/>
      <c r="I88" s="222"/>
      <c r="J88" s="222"/>
      <c r="K88" s="80" t="s">
        <v>40</v>
      </c>
      <c r="L88" s="96"/>
      <c r="M88" s="96"/>
      <c r="N88" s="82"/>
      <c r="O88" s="183"/>
      <c r="P88" s="183"/>
      <c r="Q88" s="96"/>
      <c r="R88" s="83"/>
      <c r="S88" s="96"/>
      <c r="T88" s="84"/>
      <c r="U88" s="96"/>
      <c r="V88" s="84"/>
      <c r="W88" s="120"/>
      <c r="X88" s="86"/>
    </row>
    <row r="89" spans="1:24" s="85" customFormat="1" ht="25.15" customHeight="1">
      <c r="A89" s="111"/>
      <c r="B89" s="113">
        <v>75</v>
      </c>
      <c r="C89" s="217"/>
      <c r="D89" s="96">
        <v>1</v>
      </c>
      <c r="E89" s="79" t="s">
        <v>40</v>
      </c>
      <c r="F89" s="102" t="s">
        <v>40</v>
      </c>
      <c r="G89" s="222" t="s">
        <v>162</v>
      </c>
      <c r="H89" s="222"/>
      <c r="I89" s="222"/>
      <c r="J89" s="222"/>
      <c r="K89" s="80" t="s">
        <v>40</v>
      </c>
      <c r="L89" s="96"/>
      <c r="M89" s="96"/>
      <c r="N89" s="82"/>
      <c r="O89" s="183"/>
      <c r="P89" s="183"/>
      <c r="Q89" s="96"/>
      <c r="R89" s="83"/>
      <c r="S89" s="96"/>
      <c r="T89" s="84"/>
      <c r="U89" s="96"/>
      <c r="V89" s="84"/>
      <c r="W89" s="120"/>
      <c r="X89" s="86"/>
    </row>
    <row r="90" spans="1:24" s="85" customFormat="1" ht="25.15" customHeight="1" thickBot="1">
      <c r="A90" s="111"/>
      <c r="B90" s="119">
        <v>76</v>
      </c>
      <c r="C90" s="217"/>
      <c r="D90" s="96">
        <v>1</v>
      </c>
      <c r="E90" s="79" t="s">
        <v>40</v>
      </c>
      <c r="F90" s="102" t="s">
        <v>40</v>
      </c>
      <c r="G90" s="222" t="s">
        <v>162</v>
      </c>
      <c r="H90" s="222"/>
      <c r="I90" s="222"/>
      <c r="J90" s="222"/>
      <c r="K90" s="80" t="s">
        <v>40</v>
      </c>
      <c r="L90" s="96"/>
      <c r="M90" s="96"/>
      <c r="N90" s="82"/>
      <c r="O90" s="183"/>
      <c r="P90" s="183"/>
      <c r="Q90" s="96"/>
      <c r="R90" s="83"/>
      <c r="S90" s="96"/>
      <c r="T90" s="84"/>
      <c r="U90" s="96"/>
      <c r="V90" s="84"/>
      <c r="W90" s="120"/>
      <c r="X90" s="86"/>
    </row>
    <row r="91" spans="1:24" s="85" customFormat="1" ht="25.15" customHeight="1">
      <c r="A91" s="111"/>
      <c r="B91" s="113">
        <v>77</v>
      </c>
      <c r="C91" s="217"/>
      <c r="D91" s="96">
        <v>1</v>
      </c>
      <c r="E91" s="79">
        <v>495014</v>
      </c>
      <c r="F91" s="102" t="s">
        <v>163</v>
      </c>
      <c r="G91" s="222" t="s">
        <v>164</v>
      </c>
      <c r="H91" s="222"/>
      <c r="I91" s="222"/>
      <c r="J91" s="222"/>
      <c r="K91" s="80" t="s">
        <v>43</v>
      </c>
      <c r="L91" s="96"/>
      <c r="M91" s="96"/>
      <c r="N91" s="82"/>
      <c r="O91" s="183"/>
      <c r="P91" s="183"/>
      <c r="Q91" s="96"/>
      <c r="R91" s="96"/>
      <c r="S91" s="96"/>
      <c r="T91" s="84"/>
      <c r="U91" s="96"/>
      <c r="V91" s="84"/>
      <c r="W91" s="120"/>
      <c r="X91" s="86"/>
    </row>
    <row r="92" spans="1:24" s="85" customFormat="1" ht="25.15" customHeight="1">
      <c r="A92" s="111"/>
      <c r="B92" s="170"/>
      <c r="C92" s="217"/>
      <c r="D92" s="96">
        <v>1</v>
      </c>
      <c r="E92" s="79">
        <v>495014</v>
      </c>
      <c r="F92" s="102" t="s">
        <v>165</v>
      </c>
      <c r="G92" s="222" t="s">
        <v>164</v>
      </c>
      <c r="H92" s="222"/>
      <c r="I92" s="222"/>
      <c r="J92" s="222"/>
      <c r="K92" s="80" t="s">
        <v>166</v>
      </c>
      <c r="L92" s="96"/>
      <c r="M92" s="96"/>
      <c r="N92" s="82"/>
      <c r="O92" s="96"/>
      <c r="P92" s="96"/>
      <c r="Q92" s="96"/>
      <c r="R92" s="96"/>
      <c r="S92" s="96"/>
      <c r="T92" s="84"/>
      <c r="U92" s="96"/>
      <c r="V92" s="84"/>
      <c r="W92" s="120"/>
      <c r="X92" s="86"/>
    </row>
    <row r="93" spans="1:24" s="85" customFormat="1" ht="25.15" customHeight="1">
      <c r="A93" s="111"/>
      <c r="B93" s="119">
        <v>78</v>
      </c>
      <c r="C93" s="217"/>
      <c r="D93" s="96">
        <v>1</v>
      </c>
      <c r="E93" s="79">
        <v>495015</v>
      </c>
      <c r="F93" s="102" t="s">
        <v>167</v>
      </c>
      <c r="G93" s="222" t="s">
        <v>168</v>
      </c>
      <c r="H93" s="222"/>
      <c r="I93" s="222"/>
      <c r="J93" s="222"/>
      <c r="K93" s="80" t="s">
        <v>43</v>
      </c>
      <c r="L93" s="148"/>
      <c r="M93" s="96"/>
      <c r="N93" s="82"/>
      <c r="O93" s="183"/>
      <c r="P93" s="183"/>
      <c r="Q93" s="96"/>
      <c r="R93" s="96"/>
      <c r="S93" s="96"/>
      <c r="T93" s="84"/>
      <c r="U93" s="96"/>
      <c r="V93" s="84"/>
      <c r="W93" s="120"/>
      <c r="X93" s="86"/>
    </row>
    <row r="94" spans="1:24" s="85" customFormat="1" ht="25.15" customHeight="1" thickBot="1">
      <c r="A94" s="111"/>
      <c r="B94" s="170"/>
      <c r="C94" s="230"/>
      <c r="D94" s="155">
        <v>1</v>
      </c>
      <c r="E94" s="79">
        <v>495015</v>
      </c>
      <c r="F94" s="102" t="s">
        <v>169</v>
      </c>
      <c r="G94" s="222" t="s">
        <v>168</v>
      </c>
      <c r="H94" s="222"/>
      <c r="I94" s="222"/>
      <c r="J94" s="222"/>
      <c r="K94" s="157" t="s">
        <v>166</v>
      </c>
      <c r="L94" s="178"/>
      <c r="M94" s="155"/>
      <c r="N94" s="158"/>
      <c r="O94" s="155"/>
      <c r="P94" s="155"/>
      <c r="Q94" s="155"/>
      <c r="R94" s="155"/>
      <c r="S94" s="155"/>
      <c r="T94" s="160"/>
      <c r="U94" s="155"/>
      <c r="V94" s="160"/>
      <c r="W94" s="161"/>
      <c r="X94" s="86"/>
    </row>
    <row r="95" spans="1:24" s="85" customFormat="1" ht="25.15" customHeight="1" thickBot="1">
      <c r="A95" s="111"/>
      <c r="B95" s="113">
        <v>79</v>
      </c>
      <c r="C95" s="218"/>
      <c r="D95" s="90">
        <v>0</v>
      </c>
      <c r="E95" s="123">
        <v>495011</v>
      </c>
      <c r="F95" s="124" t="s">
        <v>40</v>
      </c>
      <c r="G95" s="224" t="s">
        <v>170</v>
      </c>
      <c r="H95" s="224"/>
      <c r="I95" s="224"/>
      <c r="J95" s="224"/>
      <c r="K95" s="81" t="s">
        <v>40</v>
      </c>
      <c r="L95" s="90"/>
      <c r="M95" s="90"/>
      <c r="N95" s="91"/>
      <c r="O95" s="225"/>
      <c r="P95" s="225"/>
      <c r="Q95" s="90"/>
      <c r="R95" s="92"/>
      <c r="S95" s="90"/>
      <c r="T95" s="93"/>
      <c r="U95" s="90"/>
      <c r="V95" s="93"/>
      <c r="W95" s="125"/>
      <c r="X95" s="86"/>
    </row>
    <row r="96" spans="1:24" s="85" customFormat="1" ht="25.15" customHeight="1" thickBot="1">
      <c r="A96" s="111"/>
      <c r="B96" s="119">
        <v>80</v>
      </c>
      <c r="C96" s="216" t="s">
        <v>171</v>
      </c>
      <c r="D96" s="95">
        <v>1</v>
      </c>
      <c r="E96" s="114" t="s">
        <v>40</v>
      </c>
      <c r="F96" s="114" t="s">
        <v>172</v>
      </c>
      <c r="G96" s="219" t="s">
        <v>173</v>
      </c>
      <c r="H96" s="219"/>
      <c r="I96" s="219"/>
      <c r="J96" s="219"/>
      <c r="K96" s="116" t="s">
        <v>174</v>
      </c>
      <c r="L96" s="95"/>
      <c r="M96" s="95"/>
      <c r="N96" s="87"/>
      <c r="O96" s="220"/>
      <c r="P96" s="220"/>
      <c r="Q96" s="95"/>
      <c r="R96" s="88"/>
      <c r="S96" s="95"/>
      <c r="T96" s="89"/>
      <c r="U96" s="95"/>
      <c r="V96" s="89"/>
      <c r="W96" s="118"/>
      <c r="X96" s="86"/>
    </row>
    <row r="97" spans="1:24" s="85" customFormat="1" ht="22.5" customHeight="1">
      <c r="A97" s="111"/>
      <c r="B97" s="113">
        <v>81</v>
      </c>
      <c r="C97" s="217"/>
      <c r="D97" s="96">
        <v>1</v>
      </c>
      <c r="E97" s="79">
        <v>495034</v>
      </c>
      <c r="F97" s="79" t="s">
        <v>175</v>
      </c>
      <c r="G97" s="222" t="s">
        <v>176</v>
      </c>
      <c r="H97" s="222"/>
      <c r="I97" s="222"/>
      <c r="J97" s="222"/>
      <c r="K97" s="80" t="s">
        <v>39</v>
      </c>
      <c r="L97" s="96"/>
      <c r="M97" s="96"/>
      <c r="N97" s="82"/>
      <c r="O97" s="96"/>
      <c r="P97" s="96"/>
      <c r="Q97" s="96"/>
      <c r="R97" s="83"/>
      <c r="S97" s="96"/>
      <c r="T97" s="84"/>
      <c r="U97" s="96"/>
      <c r="V97" s="84"/>
      <c r="W97" s="120"/>
      <c r="X97" s="86"/>
    </row>
    <row r="98" spans="1:24" s="85" customFormat="1" ht="25.15" customHeight="1" thickBot="1">
      <c r="A98" s="111"/>
      <c r="B98" s="119">
        <v>82</v>
      </c>
      <c r="C98" s="217"/>
      <c r="D98" s="96">
        <v>1</v>
      </c>
      <c r="E98" s="102">
        <v>495009</v>
      </c>
      <c r="F98" s="102" t="s">
        <v>177</v>
      </c>
      <c r="G98" s="222" t="s">
        <v>178</v>
      </c>
      <c r="H98" s="222"/>
      <c r="I98" s="222"/>
      <c r="J98" s="222"/>
      <c r="K98" s="80" t="s">
        <v>39</v>
      </c>
      <c r="L98" s="96"/>
      <c r="M98" s="96"/>
      <c r="N98" s="82"/>
      <c r="O98" s="183"/>
      <c r="P98" s="183"/>
      <c r="Q98" s="96"/>
      <c r="R98" s="83"/>
      <c r="S98" s="96"/>
      <c r="T98" s="84"/>
      <c r="U98" s="96"/>
      <c r="V98" s="84"/>
      <c r="W98" s="120"/>
      <c r="X98" s="86"/>
    </row>
    <row r="99" spans="1:24" s="85" customFormat="1" ht="25.15" customHeight="1">
      <c r="A99" s="111"/>
      <c r="B99" s="113">
        <v>83</v>
      </c>
      <c r="C99" s="217"/>
      <c r="D99" s="96">
        <v>0</v>
      </c>
      <c r="E99" s="102">
        <v>495024</v>
      </c>
      <c r="F99" s="102" t="s">
        <v>40</v>
      </c>
      <c r="G99" s="222" t="s">
        <v>179</v>
      </c>
      <c r="H99" s="222"/>
      <c r="I99" s="222"/>
      <c r="J99" s="222"/>
      <c r="K99" s="80" t="s">
        <v>50</v>
      </c>
      <c r="L99" s="96"/>
      <c r="M99" s="96"/>
      <c r="N99" s="82"/>
      <c r="O99" s="183"/>
      <c r="P99" s="183"/>
      <c r="Q99" s="96"/>
      <c r="R99" s="83"/>
      <c r="S99" s="96"/>
      <c r="T99" s="84"/>
      <c r="U99" s="96"/>
      <c r="V99" s="84"/>
      <c r="W99" s="120"/>
      <c r="X99" s="86"/>
    </row>
    <row r="100" spans="1:24" s="85" customFormat="1" ht="27" customHeight="1" thickBot="1">
      <c r="A100" s="111"/>
      <c r="B100" s="119">
        <v>84</v>
      </c>
      <c r="C100" s="217"/>
      <c r="D100" s="96">
        <v>1</v>
      </c>
      <c r="E100" s="102">
        <v>495010</v>
      </c>
      <c r="F100" s="102" t="s">
        <v>180</v>
      </c>
      <c r="G100" s="222" t="s">
        <v>181</v>
      </c>
      <c r="H100" s="222"/>
      <c r="I100" s="222"/>
      <c r="J100" s="222"/>
      <c r="K100" s="80" t="s">
        <v>78</v>
      </c>
      <c r="L100" s="96"/>
      <c r="M100" s="96"/>
      <c r="N100" s="82"/>
      <c r="O100" s="183"/>
      <c r="P100" s="183"/>
      <c r="Q100" s="96"/>
      <c r="R100" s="83"/>
      <c r="S100" s="96"/>
      <c r="T100" s="84"/>
      <c r="U100" s="96"/>
      <c r="V100" s="84"/>
      <c r="W100" s="120"/>
      <c r="X100" s="86"/>
    </row>
    <row r="101" spans="1:24" s="85" customFormat="1" ht="27" customHeight="1">
      <c r="A101" s="111"/>
      <c r="B101" s="113">
        <v>85</v>
      </c>
      <c r="C101" s="217"/>
      <c r="D101" s="96">
        <v>1</v>
      </c>
      <c r="E101" s="102">
        <v>495010</v>
      </c>
      <c r="F101" s="102" t="s">
        <v>182</v>
      </c>
      <c r="G101" s="222" t="s">
        <v>181</v>
      </c>
      <c r="H101" s="222"/>
      <c r="I101" s="222"/>
      <c r="J101" s="222"/>
      <c r="K101" s="80" t="s">
        <v>78</v>
      </c>
      <c r="L101" s="96"/>
      <c r="M101" s="96"/>
      <c r="N101" s="82"/>
      <c r="O101" s="96"/>
      <c r="P101" s="96"/>
      <c r="Q101" s="96"/>
      <c r="R101" s="83"/>
      <c r="S101" s="96"/>
      <c r="T101" s="84"/>
      <c r="U101" s="96"/>
      <c r="V101" s="84"/>
      <c r="W101" s="120"/>
      <c r="X101" s="86"/>
    </row>
    <row r="102" spans="1:24" s="85" customFormat="1" ht="27" customHeight="1" thickBot="1">
      <c r="A102" s="111"/>
      <c r="B102" s="119">
        <v>86</v>
      </c>
      <c r="C102" s="154"/>
      <c r="D102" s="155">
        <v>1</v>
      </c>
      <c r="E102" s="156">
        <v>495010</v>
      </c>
      <c r="F102" s="156" t="s">
        <v>183</v>
      </c>
      <c r="G102" s="248" t="s">
        <v>181</v>
      </c>
      <c r="H102" s="251"/>
      <c r="I102" s="251"/>
      <c r="J102" s="252"/>
      <c r="K102" s="157" t="s">
        <v>78</v>
      </c>
      <c r="L102" s="155"/>
      <c r="M102" s="155"/>
      <c r="N102" s="158"/>
      <c r="O102" s="155"/>
      <c r="P102" s="155"/>
      <c r="Q102" s="155"/>
      <c r="R102" s="159"/>
      <c r="S102" s="155"/>
      <c r="T102" s="160"/>
      <c r="U102" s="155"/>
      <c r="V102" s="160"/>
      <c r="W102" s="161"/>
      <c r="X102" s="86"/>
    </row>
    <row r="103" spans="1:24" s="85" customFormat="1" ht="27" customHeight="1" thickBot="1">
      <c r="A103" s="111"/>
      <c r="B103" s="113">
        <v>87</v>
      </c>
      <c r="C103" s="122"/>
      <c r="D103" s="90">
        <v>1</v>
      </c>
      <c r="E103" s="124">
        <v>495010</v>
      </c>
      <c r="F103" s="124" t="s">
        <v>184</v>
      </c>
      <c r="G103" s="186" t="s">
        <v>181</v>
      </c>
      <c r="H103" s="186"/>
      <c r="I103" s="186"/>
      <c r="J103" s="186"/>
      <c r="K103" s="81" t="s">
        <v>39</v>
      </c>
      <c r="L103" s="90"/>
      <c r="M103" s="90"/>
      <c r="N103" s="91"/>
      <c r="O103" s="90"/>
      <c r="P103" s="90"/>
      <c r="Q103" s="90"/>
      <c r="R103" s="92"/>
      <c r="S103" s="90"/>
      <c r="T103" s="93"/>
      <c r="U103" s="90"/>
      <c r="V103" s="93"/>
      <c r="W103" s="125"/>
      <c r="X103" s="86"/>
    </row>
    <row r="104" spans="1:24" s="85" customFormat="1" ht="25.15" customHeight="1" thickBot="1">
      <c r="A104" s="111"/>
      <c r="B104" s="119">
        <v>88</v>
      </c>
      <c r="C104" s="238" t="s">
        <v>185</v>
      </c>
      <c r="D104" s="95">
        <v>1</v>
      </c>
      <c r="E104" s="114">
        <v>495028</v>
      </c>
      <c r="F104" s="126" t="s">
        <v>186</v>
      </c>
      <c r="G104" s="219" t="s">
        <v>187</v>
      </c>
      <c r="H104" s="219"/>
      <c r="I104" s="219"/>
      <c r="J104" s="219"/>
      <c r="K104" s="116" t="s">
        <v>174</v>
      </c>
      <c r="L104" s="95"/>
      <c r="M104" s="95"/>
      <c r="N104" s="87"/>
      <c r="O104" s="220"/>
      <c r="P104" s="220"/>
      <c r="Q104" s="95"/>
      <c r="R104" s="95"/>
      <c r="S104" s="95"/>
      <c r="T104" s="89"/>
      <c r="U104" s="95"/>
      <c r="V104" s="89"/>
      <c r="W104" s="118"/>
      <c r="X104" s="86"/>
    </row>
    <row r="105" spans="1:24" s="85" customFormat="1" ht="25.15" customHeight="1">
      <c r="A105" s="111"/>
      <c r="B105" s="113">
        <v>89</v>
      </c>
      <c r="C105" s="239"/>
      <c r="D105" s="96">
        <v>1</v>
      </c>
      <c r="E105" s="79">
        <v>495029</v>
      </c>
      <c r="F105" s="102" t="s">
        <v>188</v>
      </c>
      <c r="G105" s="222" t="s">
        <v>189</v>
      </c>
      <c r="H105" s="222"/>
      <c r="I105" s="222"/>
      <c r="J105" s="222"/>
      <c r="K105" s="80" t="s">
        <v>50</v>
      </c>
      <c r="L105" s="96"/>
      <c r="M105" s="96"/>
      <c r="N105" s="82"/>
      <c r="O105" s="183"/>
      <c r="P105" s="183"/>
      <c r="Q105" s="96"/>
      <c r="R105" s="96"/>
      <c r="S105" s="96"/>
      <c r="T105" s="84"/>
      <c r="U105" s="96"/>
      <c r="V105" s="84"/>
      <c r="W105" s="120"/>
      <c r="X105" s="86"/>
    </row>
    <row r="106" spans="1:24" s="85" customFormat="1" ht="25.15" customHeight="1" thickBot="1">
      <c r="A106" s="111"/>
      <c r="B106" s="119">
        <v>90</v>
      </c>
      <c r="C106" s="239"/>
      <c r="D106" s="96">
        <v>1</v>
      </c>
      <c r="E106" s="79">
        <v>495030</v>
      </c>
      <c r="F106" s="102" t="s">
        <v>190</v>
      </c>
      <c r="G106" s="222" t="s">
        <v>191</v>
      </c>
      <c r="H106" s="222"/>
      <c r="I106" s="222"/>
      <c r="J106" s="222"/>
      <c r="K106" s="80" t="s">
        <v>174</v>
      </c>
      <c r="L106" s="96"/>
      <c r="M106" s="96"/>
      <c r="N106" s="82"/>
      <c r="O106" s="183"/>
      <c r="P106" s="183"/>
      <c r="Q106" s="96"/>
      <c r="R106" s="96"/>
      <c r="S106" s="96"/>
      <c r="T106" s="84"/>
      <c r="U106" s="96"/>
      <c r="V106" s="84"/>
      <c r="W106" s="120"/>
      <c r="X106" s="86"/>
    </row>
    <row r="107" spans="1:24" s="85" customFormat="1" ht="25.15" customHeight="1">
      <c r="A107" s="111"/>
      <c r="B107" s="113">
        <v>91</v>
      </c>
      <c r="C107" s="239"/>
      <c r="D107" s="96">
        <v>0</v>
      </c>
      <c r="E107" s="79">
        <v>495021</v>
      </c>
      <c r="F107" s="102" t="s">
        <v>40</v>
      </c>
      <c r="G107" s="222" t="s">
        <v>192</v>
      </c>
      <c r="H107" s="222"/>
      <c r="I107" s="222"/>
      <c r="J107" s="222"/>
      <c r="K107" s="80" t="s">
        <v>40</v>
      </c>
      <c r="L107" s="96"/>
      <c r="M107" s="96"/>
      <c r="N107" s="82"/>
      <c r="O107" s="183"/>
      <c r="P107" s="183"/>
      <c r="Q107" s="96"/>
      <c r="R107" s="96"/>
      <c r="S107" s="96"/>
      <c r="T107" s="84"/>
      <c r="U107" s="96"/>
      <c r="V107" s="84"/>
      <c r="W107" s="120"/>
      <c r="X107" s="86"/>
    </row>
    <row r="108" spans="1:24" s="85" customFormat="1" ht="25.15" customHeight="1" thickBot="1">
      <c r="A108" s="111"/>
      <c r="B108" s="119">
        <v>92</v>
      </c>
      <c r="C108" s="239"/>
      <c r="D108" s="96">
        <v>1</v>
      </c>
      <c r="E108" s="79">
        <v>495020</v>
      </c>
      <c r="F108" s="102" t="s">
        <v>193</v>
      </c>
      <c r="G108" s="222" t="s">
        <v>194</v>
      </c>
      <c r="H108" s="222"/>
      <c r="I108" s="222"/>
      <c r="J108" s="222"/>
      <c r="K108" s="80" t="s">
        <v>50</v>
      </c>
      <c r="L108" s="148"/>
      <c r="M108" s="96"/>
      <c r="N108" s="82"/>
      <c r="O108" s="183"/>
      <c r="P108" s="183"/>
      <c r="Q108" s="96"/>
      <c r="R108" s="96"/>
      <c r="S108" s="96"/>
      <c r="T108" s="84"/>
      <c r="U108" s="96"/>
      <c r="V108" s="84"/>
      <c r="W108" s="120"/>
      <c r="X108" s="86"/>
    </row>
    <row r="109" spans="1:24" s="85" customFormat="1" ht="25.15" customHeight="1">
      <c r="A109" s="111"/>
      <c r="B109" s="113">
        <v>93</v>
      </c>
      <c r="C109" s="239"/>
      <c r="D109" s="96">
        <v>1</v>
      </c>
      <c r="E109" s="79">
        <v>496815</v>
      </c>
      <c r="F109" s="102" t="s">
        <v>195</v>
      </c>
      <c r="G109" s="222" t="s">
        <v>196</v>
      </c>
      <c r="H109" s="222"/>
      <c r="I109" s="222"/>
      <c r="J109" s="222"/>
      <c r="K109" s="80" t="s">
        <v>50</v>
      </c>
      <c r="L109" s="148"/>
      <c r="M109" s="96"/>
      <c r="N109" s="82"/>
      <c r="O109" s="96"/>
      <c r="P109" s="96"/>
      <c r="Q109" s="96"/>
      <c r="R109" s="96"/>
      <c r="S109" s="96"/>
      <c r="T109" s="84"/>
      <c r="U109" s="96"/>
      <c r="V109" s="84"/>
      <c r="W109" s="120"/>
      <c r="X109" s="86"/>
    </row>
    <row r="110" spans="1:24" s="85" customFormat="1" ht="25.15" customHeight="1" thickBot="1">
      <c r="A110" s="111"/>
      <c r="B110" s="119">
        <v>94</v>
      </c>
      <c r="C110" s="240"/>
      <c r="D110" s="90">
        <v>1</v>
      </c>
      <c r="E110" s="123">
        <v>495021</v>
      </c>
      <c r="F110" s="124" t="s">
        <v>197</v>
      </c>
      <c r="G110" s="186" t="s">
        <v>198</v>
      </c>
      <c r="H110" s="186"/>
      <c r="I110" s="186"/>
      <c r="J110" s="186"/>
      <c r="K110" s="81" t="s">
        <v>50</v>
      </c>
      <c r="L110" s="90"/>
      <c r="M110" s="90"/>
      <c r="N110" s="91"/>
      <c r="O110" s="90"/>
      <c r="P110" s="90"/>
      <c r="Q110" s="90"/>
      <c r="R110" s="90"/>
      <c r="S110" s="90"/>
      <c r="T110" s="93"/>
      <c r="U110" s="90"/>
      <c r="V110" s="93"/>
      <c r="W110" s="125"/>
      <c r="X110" s="86"/>
    </row>
    <row r="111" spans="1:24" s="85" customFormat="1" ht="25.15" customHeight="1">
      <c r="A111" s="111"/>
      <c r="B111" s="113">
        <v>95</v>
      </c>
      <c r="C111" s="216" t="s">
        <v>199</v>
      </c>
      <c r="D111" s="95">
        <v>90</v>
      </c>
      <c r="E111" s="114">
        <v>495018</v>
      </c>
      <c r="F111" s="114" t="s">
        <v>200</v>
      </c>
      <c r="G111" s="219" t="s">
        <v>201</v>
      </c>
      <c r="H111" s="219"/>
      <c r="I111" s="219"/>
      <c r="J111" s="219"/>
      <c r="K111" s="116" t="s">
        <v>78</v>
      </c>
      <c r="L111" s="95" t="s">
        <v>202</v>
      </c>
      <c r="M111" s="95"/>
      <c r="N111" s="87"/>
      <c r="O111" s="220"/>
      <c r="P111" s="220"/>
      <c r="Q111" s="95"/>
      <c r="R111" s="95"/>
      <c r="S111" s="95"/>
      <c r="T111" s="89"/>
      <c r="U111" s="95"/>
      <c r="V111" s="89"/>
      <c r="W111" s="118"/>
      <c r="X111" s="86"/>
    </row>
    <row r="112" spans="1:24" s="85" customFormat="1" ht="25.15" customHeight="1" thickBot="1">
      <c r="A112" s="111"/>
      <c r="B112" s="119">
        <v>96</v>
      </c>
      <c r="C112" s="217"/>
      <c r="D112" s="96">
        <v>0</v>
      </c>
      <c r="E112" s="79">
        <v>495019</v>
      </c>
      <c r="F112" s="102" t="s">
        <v>40</v>
      </c>
      <c r="G112" s="222" t="s">
        <v>203</v>
      </c>
      <c r="H112" s="222"/>
      <c r="I112" s="222"/>
      <c r="J112" s="222"/>
      <c r="K112" s="80" t="s">
        <v>40</v>
      </c>
      <c r="L112" s="96"/>
      <c r="M112" s="96"/>
      <c r="N112" s="82"/>
      <c r="O112" s="183"/>
      <c r="P112" s="183"/>
      <c r="Q112" s="96"/>
      <c r="R112" s="96"/>
      <c r="S112" s="96"/>
      <c r="T112" s="84"/>
      <c r="U112" s="96"/>
      <c r="V112" s="84"/>
      <c r="W112" s="120"/>
      <c r="X112" s="86"/>
    </row>
    <row r="113" spans="1:24" s="85" customFormat="1" ht="22.5" customHeight="1">
      <c r="A113" s="111"/>
      <c r="B113" s="113">
        <v>97</v>
      </c>
      <c r="C113" s="217"/>
      <c r="D113" s="96">
        <v>79</v>
      </c>
      <c r="E113" s="79">
        <v>651724</v>
      </c>
      <c r="F113" s="102" t="s">
        <v>204</v>
      </c>
      <c r="G113" s="222" t="s">
        <v>205</v>
      </c>
      <c r="H113" s="222"/>
      <c r="I113" s="222"/>
      <c r="J113" s="222"/>
      <c r="K113" s="102" t="s">
        <v>58</v>
      </c>
      <c r="L113" s="96"/>
      <c r="M113" s="96"/>
      <c r="N113" s="82"/>
      <c r="O113" s="183"/>
      <c r="P113" s="183"/>
      <c r="Q113" s="103"/>
      <c r="R113" s="83"/>
      <c r="S113" s="96"/>
      <c r="T113" s="84"/>
      <c r="U113" s="96"/>
      <c r="V113" s="84"/>
      <c r="W113" s="121"/>
      <c r="X113" s="86"/>
    </row>
    <row r="114" spans="1:24" s="85" customFormat="1" ht="25.15" customHeight="1" thickBot="1">
      <c r="A114" s="111"/>
      <c r="B114" s="119">
        <v>98</v>
      </c>
      <c r="C114" s="217"/>
      <c r="D114" s="96">
        <v>0</v>
      </c>
      <c r="E114" s="79">
        <v>495026</v>
      </c>
      <c r="F114" s="102" t="s">
        <v>40</v>
      </c>
      <c r="G114" s="222" t="s">
        <v>206</v>
      </c>
      <c r="H114" s="222"/>
      <c r="I114" s="222"/>
      <c r="J114" s="222"/>
      <c r="K114" s="80" t="s">
        <v>40</v>
      </c>
      <c r="L114" s="96"/>
      <c r="M114" s="96"/>
      <c r="N114" s="82"/>
      <c r="O114" s="183"/>
      <c r="P114" s="183"/>
      <c r="Q114" s="96"/>
      <c r="R114" s="96"/>
      <c r="S114" s="96"/>
      <c r="T114" s="84"/>
      <c r="U114" s="96"/>
      <c r="V114" s="84"/>
      <c r="W114" s="120"/>
      <c r="X114" s="86"/>
    </row>
    <row r="115" spans="1:24" s="85" customFormat="1" ht="25.15" customHeight="1">
      <c r="A115" s="111"/>
      <c r="B115" s="113">
        <v>99</v>
      </c>
      <c r="C115" s="217"/>
      <c r="D115" s="96">
        <v>0</v>
      </c>
      <c r="E115" s="79">
        <v>495047</v>
      </c>
      <c r="F115" s="102" t="s">
        <v>40</v>
      </c>
      <c r="G115" s="221" t="s">
        <v>207</v>
      </c>
      <c r="H115" s="221"/>
      <c r="I115" s="221"/>
      <c r="J115" s="221"/>
      <c r="K115" s="102" t="s">
        <v>40</v>
      </c>
      <c r="L115" s="96"/>
      <c r="M115" s="96"/>
      <c r="N115" s="82"/>
      <c r="O115" s="183"/>
      <c r="P115" s="183"/>
      <c r="Q115" s="103"/>
      <c r="R115" s="101"/>
      <c r="S115" s="96"/>
      <c r="T115" s="84"/>
      <c r="U115" s="96"/>
      <c r="V115" s="84"/>
      <c r="W115" s="120"/>
      <c r="X115" s="86"/>
    </row>
    <row r="116" spans="1:24" s="85" customFormat="1" ht="23.1" customHeight="1" thickBot="1">
      <c r="A116" s="111"/>
      <c r="B116" s="119">
        <v>100</v>
      </c>
      <c r="C116" s="218"/>
      <c r="D116" s="90">
        <v>1</v>
      </c>
      <c r="E116" s="123">
        <v>495048</v>
      </c>
      <c r="F116" s="124" t="s">
        <v>208</v>
      </c>
      <c r="G116" s="186" t="s">
        <v>209</v>
      </c>
      <c r="H116" s="186"/>
      <c r="I116" s="186"/>
      <c r="J116" s="186"/>
      <c r="K116" s="124" t="s">
        <v>174</v>
      </c>
      <c r="L116" s="90"/>
      <c r="M116" s="90"/>
      <c r="N116" s="91"/>
      <c r="O116" s="225"/>
      <c r="P116" s="225"/>
      <c r="Q116" s="133"/>
      <c r="R116" s="92"/>
      <c r="S116" s="90"/>
      <c r="T116" s="93"/>
      <c r="U116" s="90"/>
      <c r="V116" s="93"/>
      <c r="W116" s="136"/>
      <c r="X116" s="86"/>
    </row>
    <row r="117" spans="1:24" s="85" customFormat="1" ht="25.15" customHeight="1">
      <c r="A117" s="111"/>
      <c r="B117" s="113">
        <v>101</v>
      </c>
      <c r="C117" s="216" t="s">
        <v>210</v>
      </c>
      <c r="D117" s="95">
        <v>2</v>
      </c>
      <c r="E117" s="114">
        <v>495044</v>
      </c>
      <c r="F117" s="126" t="s">
        <v>211</v>
      </c>
      <c r="G117" s="219" t="s">
        <v>212</v>
      </c>
      <c r="H117" s="219"/>
      <c r="I117" s="219"/>
      <c r="J117" s="219"/>
      <c r="K117" s="116" t="s">
        <v>78</v>
      </c>
      <c r="L117" s="162"/>
      <c r="M117" s="95"/>
      <c r="N117" s="87"/>
      <c r="O117" s="220"/>
      <c r="P117" s="220"/>
      <c r="Q117" s="95"/>
      <c r="R117" s="95"/>
      <c r="S117" s="95"/>
      <c r="T117" s="89"/>
      <c r="U117" s="95"/>
      <c r="V117" s="89"/>
      <c r="W117" s="118"/>
      <c r="X117" s="86"/>
    </row>
    <row r="118" spans="1:24" s="85" customFormat="1" ht="25.15" customHeight="1" thickBot="1">
      <c r="A118" s="111"/>
      <c r="B118" s="119">
        <v>102</v>
      </c>
      <c r="C118" s="217"/>
      <c r="D118" s="139">
        <v>1</v>
      </c>
      <c r="E118" s="109">
        <v>495045</v>
      </c>
      <c r="F118" s="181" t="s">
        <v>213</v>
      </c>
      <c r="G118" s="222" t="s">
        <v>214</v>
      </c>
      <c r="H118" s="222"/>
      <c r="I118" s="222"/>
      <c r="J118" s="222"/>
      <c r="K118" s="80" t="s">
        <v>78</v>
      </c>
      <c r="L118" s="148"/>
      <c r="M118" s="96"/>
      <c r="N118" s="82"/>
      <c r="O118" s="183"/>
      <c r="P118" s="183"/>
      <c r="Q118" s="96"/>
      <c r="R118" s="96"/>
      <c r="S118" s="96"/>
      <c r="T118" s="84"/>
      <c r="U118" s="96"/>
      <c r="V118" s="84"/>
      <c r="W118" s="120"/>
      <c r="X118" s="86"/>
    </row>
    <row r="119" spans="1:24" s="85" customFormat="1" ht="25.15" customHeight="1">
      <c r="A119" s="111"/>
      <c r="B119" s="113">
        <v>103</v>
      </c>
      <c r="C119" s="217"/>
      <c r="D119" s="96">
        <v>1</v>
      </c>
      <c r="E119" s="79">
        <v>495046</v>
      </c>
      <c r="F119" s="102" t="s">
        <v>215</v>
      </c>
      <c r="G119" s="222" t="s">
        <v>216</v>
      </c>
      <c r="H119" s="222"/>
      <c r="I119" s="222"/>
      <c r="J119" s="222"/>
      <c r="K119" s="80" t="s">
        <v>78</v>
      </c>
      <c r="L119" s="96"/>
      <c r="M119" s="96"/>
      <c r="N119" s="82"/>
      <c r="O119" s="183"/>
      <c r="P119" s="183"/>
      <c r="Q119" s="96"/>
      <c r="R119" s="96"/>
      <c r="S119" s="96"/>
      <c r="T119" s="84"/>
      <c r="U119" s="96"/>
      <c r="V119" s="84"/>
      <c r="W119" s="120"/>
      <c r="X119" s="86"/>
    </row>
    <row r="120" spans="1:24" s="85" customFormat="1" ht="25.15" customHeight="1" thickBot="1">
      <c r="A120" s="111"/>
      <c r="B120" s="119">
        <v>104</v>
      </c>
      <c r="C120" s="217"/>
      <c r="D120" s="96">
        <v>1</v>
      </c>
      <c r="E120" s="79">
        <v>497339</v>
      </c>
      <c r="F120" s="102" t="s">
        <v>217</v>
      </c>
      <c r="G120" s="222" t="s">
        <v>218</v>
      </c>
      <c r="H120" s="222"/>
      <c r="I120" s="222"/>
      <c r="J120" s="222"/>
      <c r="K120" s="102" t="s">
        <v>58</v>
      </c>
      <c r="L120" s="96"/>
      <c r="M120" s="96"/>
      <c r="N120" s="82"/>
      <c r="O120" s="183"/>
      <c r="P120" s="183"/>
      <c r="Q120" s="103"/>
      <c r="R120" s="83"/>
      <c r="S120" s="96"/>
      <c r="T120" s="84"/>
      <c r="U120" s="96"/>
      <c r="V120" s="84"/>
      <c r="W120" s="120"/>
      <c r="X120" s="86"/>
    </row>
    <row r="121" spans="1:24" s="85" customFormat="1" ht="25.15" customHeight="1">
      <c r="A121" s="111"/>
      <c r="B121" s="113">
        <v>105</v>
      </c>
      <c r="C121" s="217"/>
      <c r="D121" s="96">
        <v>1</v>
      </c>
      <c r="E121" s="79">
        <v>497340</v>
      </c>
      <c r="F121" s="102" t="s">
        <v>219</v>
      </c>
      <c r="G121" s="222" t="s">
        <v>220</v>
      </c>
      <c r="H121" s="222"/>
      <c r="I121" s="222"/>
      <c r="J121" s="222"/>
      <c r="K121" s="80" t="s">
        <v>58</v>
      </c>
      <c r="L121" s="96"/>
      <c r="M121" s="96"/>
      <c r="N121" s="82"/>
      <c r="O121" s="183"/>
      <c r="P121" s="183"/>
      <c r="Q121" s="103"/>
      <c r="R121" s="83"/>
      <c r="S121" s="96"/>
      <c r="T121" s="84"/>
      <c r="U121" s="96"/>
      <c r="V121" s="84"/>
      <c r="W121" s="120"/>
      <c r="X121" s="86"/>
    </row>
    <row r="122" spans="1:24" s="85" customFormat="1" ht="25.15" customHeight="1" thickBot="1">
      <c r="A122" s="111"/>
      <c r="B122" s="119">
        <v>106</v>
      </c>
      <c r="C122" s="217"/>
      <c r="D122" s="96">
        <v>1</v>
      </c>
      <c r="E122" s="79">
        <v>497341</v>
      </c>
      <c r="F122" s="102" t="s">
        <v>221</v>
      </c>
      <c r="G122" s="222" t="s">
        <v>222</v>
      </c>
      <c r="H122" s="222"/>
      <c r="I122" s="222"/>
      <c r="J122" s="222"/>
      <c r="K122" s="102" t="s">
        <v>58</v>
      </c>
      <c r="L122" s="148"/>
      <c r="M122" s="96"/>
      <c r="N122" s="82"/>
      <c r="O122" s="183"/>
      <c r="P122" s="183"/>
      <c r="Q122" s="103"/>
      <c r="R122" s="83"/>
      <c r="S122" s="96"/>
      <c r="T122" s="84"/>
      <c r="U122" s="96"/>
      <c r="V122" s="84"/>
      <c r="W122" s="121"/>
      <c r="X122" s="86"/>
    </row>
    <row r="123" spans="1:24" s="85" customFormat="1" ht="25.15" customHeight="1">
      <c r="A123" s="111"/>
      <c r="B123" s="113">
        <v>107</v>
      </c>
      <c r="C123" s="217"/>
      <c r="D123" s="96">
        <v>0</v>
      </c>
      <c r="E123" s="79">
        <v>495046</v>
      </c>
      <c r="F123" s="102" t="s">
        <v>40</v>
      </c>
      <c r="G123" s="222" t="s">
        <v>220</v>
      </c>
      <c r="H123" s="222"/>
      <c r="I123" s="222"/>
      <c r="J123" s="222"/>
      <c r="K123" s="102" t="s">
        <v>40</v>
      </c>
      <c r="L123" s="96"/>
      <c r="M123" s="96"/>
      <c r="N123" s="82"/>
      <c r="O123" s="96"/>
      <c r="P123" s="96"/>
      <c r="Q123" s="103"/>
      <c r="R123" s="83"/>
      <c r="S123" s="96"/>
      <c r="T123" s="84"/>
      <c r="U123" s="96"/>
      <c r="V123" s="84"/>
      <c r="W123" s="121"/>
      <c r="X123" s="86"/>
    </row>
    <row r="124" spans="1:24" s="85" customFormat="1" ht="25.15" customHeight="1" thickBot="1">
      <c r="A124" s="111"/>
      <c r="B124" s="119">
        <v>108</v>
      </c>
      <c r="C124" s="217"/>
      <c r="D124" s="96">
        <v>1</v>
      </c>
      <c r="E124" s="79">
        <v>495044</v>
      </c>
      <c r="F124" s="102" t="s">
        <v>223</v>
      </c>
      <c r="G124" s="222" t="s">
        <v>222</v>
      </c>
      <c r="H124" s="222"/>
      <c r="I124" s="222"/>
      <c r="J124" s="222"/>
      <c r="K124" s="102" t="s">
        <v>58</v>
      </c>
      <c r="L124" s="139"/>
      <c r="M124" s="96"/>
      <c r="N124" s="82"/>
      <c r="O124" s="96"/>
      <c r="P124" s="96"/>
      <c r="Q124" s="103"/>
      <c r="R124" s="83"/>
      <c r="S124" s="96"/>
      <c r="T124" s="84"/>
      <c r="U124" s="96"/>
      <c r="V124" s="84"/>
      <c r="W124" s="121"/>
      <c r="X124" s="86"/>
    </row>
    <row r="125" spans="1:24" s="85" customFormat="1" ht="25.15" customHeight="1" thickBot="1">
      <c r="A125" s="111"/>
      <c r="B125" s="113">
        <v>109</v>
      </c>
      <c r="C125" s="218"/>
      <c r="D125" s="90">
        <v>1</v>
      </c>
      <c r="E125" s="123">
        <v>497345</v>
      </c>
      <c r="F125" s="124" t="s">
        <v>224</v>
      </c>
      <c r="G125" s="186" t="s">
        <v>225</v>
      </c>
      <c r="H125" s="186"/>
      <c r="I125" s="186"/>
      <c r="J125" s="186"/>
      <c r="K125" s="124" t="s">
        <v>58</v>
      </c>
      <c r="L125" s="90"/>
      <c r="M125" s="90"/>
      <c r="N125" s="91"/>
      <c r="O125" s="225"/>
      <c r="P125" s="225"/>
      <c r="Q125" s="133"/>
      <c r="R125" s="92"/>
      <c r="S125" s="90"/>
      <c r="T125" s="93"/>
      <c r="U125" s="90"/>
      <c r="V125" s="93"/>
      <c r="W125" s="125"/>
      <c r="X125" s="86"/>
    </row>
    <row r="126" spans="1:24" s="85" customFormat="1" ht="25.15" customHeight="1" thickBot="1">
      <c r="A126" s="111"/>
      <c r="B126" s="119">
        <v>110</v>
      </c>
      <c r="C126" s="216" t="s">
        <v>226</v>
      </c>
      <c r="D126" s="95">
        <v>0</v>
      </c>
      <c r="E126" s="114">
        <v>495049</v>
      </c>
      <c r="F126" s="126"/>
      <c r="G126" s="219" t="s">
        <v>227</v>
      </c>
      <c r="H126" s="219"/>
      <c r="I126" s="219"/>
      <c r="J126" s="219"/>
      <c r="K126" s="116" t="s">
        <v>50</v>
      </c>
      <c r="L126" s="151"/>
      <c r="M126" s="95"/>
      <c r="N126" s="87"/>
      <c r="O126" s="220"/>
      <c r="P126" s="220"/>
      <c r="Q126" s="95"/>
      <c r="R126" s="88"/>
      <c r="S126" s="95"/>
      <c r="T126" s="89"/>
      <c r="U126" s="95"/>
      <c r="V126" s="89"/>
      <c r="W126" s="118"/>
      <c r="X126" s="86"/>
    </row>
    <row r="127" spans="1:24" s="85" customFormat="1" ht="24.95" customHeight="1">
      <c r="A127" s="111"/>
      <c r="B127" s="113">
        <v>111</v>
      </c>
      <c r="C127" s="217"/>
      <c r="D127" s="96">
        <v>1</v>
      </c>
      <c r="E127" s="79" t="s">
        <v>40</v>
      </c>
      <c r="F127" s="102" t="s">
        <v>228</v>
      </c>
      <c r="G127" s="222" t="s">
        <v>229</v>
      </c>
      <c r="H127" s="222"/>
      <c r="I127" s="222"/>
      <c r="J127" s="222"/>
      <c r="K127" s="80" t="s">
        <v>50</v>
      </c>
      <c r="L127" s="163"/>
      <c r="M127" s="96"/>
      <c r="N127" s="82"/>
      <c r="O127" s="183"/>
      <c r="P127" s="183"/>
      <c r="Q127" s="96"/>
      <c r="R127" s="83"/>
      <c r="S127" s="96"/>
      <c r="T127" s="84"/>
      <c r="U127" s="96"/>
      <c r="V127" s="84"/>
      <c r="W127" s="120"/>
      <c r="X127" s="86"/>
    </row>
    <row r="128" spans="1:24" s="85" customFormat="1" ht="25.15" customHeight="1" thickBot="1">
      <c r="A128" s="111"/>
      <c r="B128" s="119">
        <v>112</v>
      </c>
      <c r="C128" s="217"/>
      <c r="D128" s="96">
        <v>1</v>
      </c>
      <c r="E128" s="79" t="s">
        <v>40</v>
      </c>
      <c r="F128" s="102" t="s">
        <v>230</v>
      </c>
      <c r="G128" s="221" t="s">
        <v>231</v>
      </c>
      <c r="H128" s="221"/>
      <c r="I128" s="221"/>
      <c r="J128" s="221"/>
      <c r="K128" s="102" t="s">
        <v>50</v>
      </c>
      <c r="L128" s="96"/>
      <c r="M128" s="96"/>
      <c r="N128" s="82"/>
      <c r="O128" s="183"/>
      <c r="P128" s="183"/>
      <c r="Q128" s="96"/>
      <c r="R128" s="96"/>
      <c r="S128" s="96"/>
      <c r="T128" s="84"/>
      <c r="U128" s="96"/>
      <c r="V128" s="84"/>
      <c r="W128" s="120"/>
      <c r="X128" s="86"/>
    </row>
    <row r="129" spans="1:24" s="85" customFormat="1" ht="25.15" customHeight="1">
      <c r="A129" s="111"/>
      <c r="B129" s="113">
        <v>113</v>
      </c>
      <c r="C129" s="217"/>
      <c r="D129" s="96">
        <v>1</v>
      </c>
      <c r="E129" s="79">
        <v>495051</v>
      </c>
      <c r="F129" s="102" t="s">
        <v>232</v>
      </c>
      <c r="G129" s="222" t="s">
        <v>233</v>
      </c>
      <c r="H129" s="222"/>
      <c r="I129" s="222"/>
      <c r="J129" s="222"/>
      <c r="K129" s="80" t="s">
        <v>39</v>
      </c>
      <c r="L129" s="148"/>
      <c r="M129" s="96"/>
      <c r="N129" s="82"/>
      <c r="O129" s="183"/>
      <c r="P129" s="183"/>
      <c r="Q129" s="96"/>
      <c r="R129" s="96"/>
      <c r="S129" s="96"/>
      <c r="T129" s="84"/>
      <c r="U129" s="96"/>
      <c r="V129" s="84"/>
      <c r="W129" s="120"/>
      <c r="X129" s="86"/>
    </row>
    <row r="130" spans="1:24" s="85" customFormat="1" ht="25.15" customHeight="1" thickBot="1">
      <c r="A130" s="111"/>
      <c r="B130" s="119">
        <v>114</v>
      </c>
      <c r="C130" s="217"/>
      <c r="D130" s="96">
        <v>1</v>
      </c>
      <c r="E130" s="79">
        <v>495052</v>
      </c>
      <c r="F130" s="102" t="s">
        <v>234</v>
      </c>
      <c r="G130" s="222" t="s">
        <v>235</v>
      </c>
      <c r="H130" s="222"/>
      <c r="I130" s="222"/>
      <c r="J130" s="222"/>
      <c r="K130" s="80" t="s">
        <v>50</v>
      </c>
      <c r="L130" s="148"/>
      <c r="M130" s="96"/>
      <c r="N130" s="82"/>
      <c r="O130" s="183"/>
      <c r="P130" s="183"/>
      <c r="Q130" s="96"/>
      <c r="R130" s="96"/>
      <c r="S130" s="96"/>
      <c r="T130" s="84"/>
      <c r="U130" s="96"/>
      <c r="V130" s="84"/>
      <c r="W130" s="120"/>
      <c r="X130" s="86"/>
    </row>
    <row r="131" spans="1:24" s="85" customFormat="1" ht="25.15" customHeight="1">
      <c r="A131" s="111"/>
      <c r="B131" s="113">
        <v>115</v>
      </c>
      <c r="C131" s="217"/>
      <c r="D131" s="96">
        <v>0</v>
      </c>
      <c r="E131" s="79">
        <v>495053</v>
      </c>
      <c r="F131" s="102" t="s">
        <v>40</v>
      </c>
      <c r="G131" s="221" t="s">
        <v>236</v>
      </c>
      <c r="H131" s="221"/>
      <c r="I131" s="221"/>
      <c r="J131" s="221"/>
      <c r="K131" s="80" t="s">
        <v>40</v>
      </c>
      <c r="L131" s="96"/>
      <c r="M131" s="96"/>
      <c r="N131" s="82"/>
      <c r="O131" s="183"/>
      <c r="P131" s="183"/>
      <c r="Q131" s="96"/>
      <c r="R131" s="96"/>
      <c r="S131" s="96"/>
      <c r="T131" s="84"/>
      <c r="U131" s="96"/>
      <c r="V131" s="84"/>
      <c r="W131" s="120"/>
      <c r="X131" s="86"/>
    </row>
    <row r="132" spans="1:24" s="85" customFormat="1" ht="25.15" customHeight="1" thickBot="1">
      <c r="A132" s="111"/>
      <c r="B132" s="119">
        <v>116</v>
      </c>
      <c r="C132" s="217"/>
      <c r="D132" s="96">
        <v>1</v>
      </c>
      <c r="E132" s="79">
        <v>495054</v>
      </c>
      <c r="F132" s="102" t="s">
        <v>237</v>
      </c>
      <c r="G132" s="222" t="s">
        <v>238</v>
      </c>
      <c r="H132" s="222"/>
      <c r="I132" s="222"/>
      <c r="J132" s="222"/>
      <c r="K132" s="80" t="s">
        <v>39</v>
      </c>
      <c r="L132" s="96"/>
      <c r="M132" s="96"/>
      <c r="N132" s="82"/>
      <c r="O132" s="183"/>
      <c r="P132" s="183"/>
      <c r="Q132" s="103"/>
      <c r="R132" s="83"/>
      <c r="S132" s="96"/>
      <c r="T132" s="84"/>
      <c r="U132" s="96"/>
      <c r="V132" s="84"/>
      <c r="W132" s="120"/>
      <c r="X132" s="86"/>
    </row>
    <row r="133" spans="1:24" s="85" customFormat="1" ht="25.15" customHeight="1">
      <c r="A133" s="111"/>
      <c r="B133" s="113">
        <v>117</v>
      </c>
      <c r="C133" s="217"/>
      <c r="D133" s="96">
        <v>0</v>
      </c>
      <c r="E133" s="79">
        <v>495055</v>
      </c>
      <c r="F133" s="102" t="s">
        <v>40</v>
      </c>
      <c r="G133" s="221" t="s">
        <v>239</v>
      </c>
      <c r="H133" s="221"/>
      <c r="I133" s="221"/>
      <c r="J133" s="221"/>
      <c r="K133" s="102" t="s">
        <v>40</v>
      </c>
      <c r="L133" s="96"/>
      <c r="M133" s="96"/>
      <c r="N133" s="82"/>
      <c r="O133" s="183"/>
      <c r="P133" s="183"/>
      <c r="Q133" s="96"/>
      <c r="R133" s="96"/>
      <c r="S133" s="96"/>
      <c r="T133" s="84"/>
      <c r="U133" s="96"/>
      <c r="V133" s="84"/>
      <c r="W133" s="120"/>
      <c r="X133" s="86"/>
    </row>
    <row r="134" spans="1:24" s="85" customFormat="1" ht="25.15" customHeight="1" thickBot="1">
      <c r="A134" s="111"/>
      <c r="B134" s="119">
        <v>118</v>
      </c>
      <c r="C134" s="217"/>
      <c r="D134" s="96">
        <v>1</v>
      </c>
      <c r="E134" s="79">
        <v>495056</v>
      </c>
      <c r="F134" s="102" t="s">
        <v>240</v>
      </c>
      <c r="G134" s="222" t="s">
        <v>241</v>
      </c>
      <c r="H134" s="222"/>
      <c r="I134" s="222"/>
      <c r="J134" s="222"/>
      <c r="K134" s="102" t="s">
        <v>58</v>
      </c>
      <c r="L134" s="148"/>
      <c r="M134" s="96"/>
      <c r="N134" s="82"/>
      <c r="O134" s="183"/>
      <c r="P134" s="183"/>
      <c r="Q134" s="103"/>
      <c r="R134" s="83"/>
      <c r="S134" s="96"/>
      <c r="T134" s="84"/>
      <c r="U134" s="96"/>
      <c r="V134" s="84"/>
      <c r="W134" s="120"/>
      <c r="X134" s="86"/>
    </row>
    <row r="135" spans="1:24" s="85" customFormat="1" ht="25.15" customHeight="1">
      <c r="A135" s="111"/>
      <c r="B135" s="113">
        <v>119</v>
      </c>
      <c r="C135" s="217"/>
      <c r="D135" s="96">
        <v>1</v>
      </c>
      <c r="E135" s="79" t="s">
        <v>40</v>
      </c>
      <c r="F135" s="139">
        <v>20345</v>
      </c>
      <c r="G135" s="222" t="s">
        <v>242</v>
      </c>
      <c r="H135" s="222"/>
      <c r="I135" s="222"/>
      <c r="J135" s="222"/>
      <c r="K135" s="102" t="s">
        <v>58</v>
      </c>
      <c r="L135" s="148"/>
      <c r="M135" s="96"/>
      <c r="N135" s="82"/>
      <c r="O135" s="183"/>
      <c r="P135" s="183"/>
      <c r="Q135" s="103"/>
      <c r="R135" s="83"/>
      <c r="S135" s="96"/>
      <c r="T135" s="84"/>
      <c r="U135" s="96"/>
      <c r="V135" s="84"/>
      <c r="W135" s="120"/>
      <c r="X135" s="86"/>
    </row>
    <row r="136" spans="1:24" s="85" customFormat="1" ht="23.65" customHeight="1" thickBot="1">
      <c r="A136" s="111"/>
      <c r="B136" s="119">
        <v>120</v>
      </c>
      <c r="C136" s="217"/>
      <c r="D136" s="96">
        <v>1</v>
      </c>
      <c r="E136" s="79" t="s">
        <v>40</v>
      </c>
      <c r="F136" s="181" t="s">
        <v>243</v>
      </c>
      <c r="G136" s="222" t="s">
        <v>244</v>
      </c>
      <c r="H136" s="222"/>
      <c r="I136" s="222"/>
      <c r="J136" s="222"/>
      <c r="K136" s="102" t="s">
        <v>58</v>
      </c>
      <c r="L136" s="148"/>
      <c r="M136" s="96"/>
      <c r="N136" s="82"/>
      <c r="O136" s="183"/>
      <c r="P136" s="183"/>
      <c r="Q136" s="103"/>
      <c r="R136" s="83"/>
      <c r="S136" s="96"/>
      <c r="T136" s="84"/>
      <c r="U136" s="96"/>
      <c r="V136" s="84"/>
      <c r="W136" s="121"/>
      <c r="X136" s="86"/>
    </row>
    <row r="137" spans="1:24" s="85" customFormat="1" ht="25.15" customHeight="1">
      <c r="A137" s="111"/>
      <c r="B137" s="113">
        <v>121</v>
      </c>
      <c r="C137" s="217"/>
      <c r="D137" s="96">
        <v>1</v>
      </c>
      <c r="E137" s="79" t="s">
        <v>40</v>
      </c>
      <c r="F137" s="102" t="s">
        <v>40</v>
      </c>
      <c r="G137" s="221" t="s">
        <v>245</v>
      </c>
      <c r="H137" s="221"/>
      <c r="I137" s="221"/>
      <c r="J137" s="221"/>
      <c r="K137" s="80" t="s">
        <v>39</v>
      </c>
      <c r="L137" s="96"/>
      <c r="M137" s="96"/>
      <c r="N137" s="82"/>
      <c r="O137" s="183"/>
      <c r="P137" s="183"/>
      <c r="Q137" s="103"/>
      <c r="R137" s="83"/>
      <c r="S137" s="96"/>
      <c r="T137" s="84"/>
      <c r="U137" s="96"/>
      <c r="V137" s="84"/>
      <c r="W137" s="120"/>
      <c r="X137" s="86"/>
    </row>
    <row r="138" spans="1:24" s="85" customFormat="1" ht="25.15" customHeight="1" thickBot="1">
      <c r="A138" s="111"/>
      <c r="B138" s="119">
        <v>122</v>
      </c>
      <c r="C138" s="217"/>
      <c r="D138" s="96">
        <v>0</v>
      </c>
      <c r="E138" s="79">
        <v>495058</v>
      </c>
      <c r="F138" s="102" t="s">
        <v>40</v>
      </c>
      <c r="G138" s="222" t="s">
        <v>246</v>
      </c>
      <c r="H138" s="222"/>
      <c r="I138" s="222"/>
      <c r="J138" s="222"/>
      <c r="K138" s="80" t="s">
        <v>40</v>
      </c>
      <c r="L138" s="96"/>
      <c r="M138" s="96"/>
      <c r="N138" s="82"/>
      <c r="O138" s="183"/>
      <c r="P138" s="183"/>
      <c r="Q138" s="103"/>
      <c r="R138" s="83"/>
      <c r="S138" s="96"/>
      <c r="T138" s="84"/>
      <c r="U138" s="96"/>
      <c r="V138" s="84"/>
      <c r="W138" s="120"/>
      <c r="X138" s="86"/>
    </row>
    <row r="139" spans="1:24" s="85" customFormat="1" ht="25.15" customHeight="1">
      <c r="A139" s="111"/>
      <c r="B139" s="113">
        <v>123</v>
      </c>
      <c r="C139" s="217"/>
      <c r="D139" s="96">
        <v>0</v>
      </c>
      <c r="E139" s="79">
        <v>495059</v>
      </c>
      <c r="F139" s="102" t="s">
        <v>40</v>
      </c>
      <c r="G139" s="222" t="s">
        <v>247</v>
      </c>
      <c r="H139" s="222"/>
      <c r="I139" s="222"/>
      <c r="J139" s="222"/>
      <c r="K139" s="80" t="s">
        <v>40</v>
      </c>
      <c r="L139" s="96"/>
      <c r="M139" s="96"/>
      <c r="N139" s="82"/>
      <c r="O139" s="183"/>
      <c r="P139" s="183"/>
      <c r="Q139" s="96"/>
      <c r="R139" s="96"/>
      <c r="S139" s="96"/>
      <c r="T139" s="84"/>
      <c r="U139" s="96"/>
      <c r="V139" s="84"/>
      <c r="W139" s="120"/>
      <c r="X139" s="86"/>
    </row>
    <row r="140" spans="1:24" s="85" customFormat="1" ht="25.15" customHeight="1" thickBot="1">
      <c r="A140" s="111"/>
      <c r="B140" s="119">
        <v>124</v>
      </c>
      <c r="C140" s="217"/>
      <c r="D140" s="96">
        <v>0</v>
      </c>
      <c r="E140" s="79" t="s">
        <v>40</v>
      </c>
      <c r="F140" s="102" t="s">
        <v>40</v>
      </c>
      <c r="G140" s="222" t="s">
        <v>248</v>
      </c>
      <c r="H140" s="222"/>
      <c r="I140" s="222"/>
      <c r="J140" s="222"/>
      <c r="K140" s="80" t="s">
        <v>40</v>
      </c>
      <c r="L140" s="96"/>
      <c r="M140" s="96"/>
      <c r="N140" s="82"/>
      <c r="O140" s="183"/>
      <c r="P140" s="183"/>
      <c r="Q140" s="96"/>
      <c r="R140" s="96"/>
      <c r="S140" s="96"/>
      <c r="T140" s="84"/>
      <c r="U140" s="96"/>
      <c r="V140" s="84"/>
      <c r="W140" s="120"/>
      <c r="X140" s="86"/>
    </row>
    <row r="141" spans="1:24" s="85" customFormat="1" ht="25.15" customHeight="1">
      <c r="A141" s="111"/>
      <c r="B141" s="113">
        <v>125</v>
      </c>
      <c r="C141" s="217"/>
      <c r="D141" s="96">
        <v>0</v>
      </c>
      <c r="E141" s="79">
        <v>495060</v>
      </c>
      <c r="F141" s="102" t="s">
        <v>40</v>
      </c>
      <c r="G141" s="221" t="s">
        <v>249</v>
      </c>
      <c r="H141" s="221"/>
      <c r="I141" s="221"/>
      <c r="J141" s="221"/>
      <c r="K141" s="80" t="s">
        <v>40</v>
      </c>
      <c r="L141" s="96"/>
      <c r="M141" s="96"/>
      <c r="N141" s="82"/>
      <c r="O141" s="183"/>
      <c r="P141" s="183"/>
      <c r="Q141" s="103"/>
      <c r="R141" s="83"/>
      <c r="S141" s="96"/>
      <c r="T141" s="84"/>
      <c r="U141" s="96"/>
      <c r="V141" s="84"/>
      <c r="W141" s="120"/>
      <c r="X141" s="86"/>
    </row>
    <row r="142" spans="1:24" s="85" customFormat="1" ht="25.15" customHeight="1" thickBot="1">
      <c r="A142" s="111"/>
      <c r="B142" s="119">
        <v>126</v>
      </c>
      <c r="C142" s="217"/>
      <c r="D142" s="96">
        <v>0</v>
      </c>
      <c r="E142" s="79">
        <v>495061</v>
      </c>
      <c r="F142" s="102" t="s">
        <v>40</v>
      </c>
      <c r="G142" s="222" t="s">
        <v>250</v>
      </c>
      <c r="H142" s="222"/>
      <c r="I142" s="222"/>
      <c r="J142" s="222"/>
      <c r="K142" s="80" t="s">
        <v>40</v>
      </c>
      <c r="L142" s="96"/>
      <c r="M142" s="96"/>
      <c r="N142" s="82"/>
      <c r="O142" s="183"/>
      <c r="P142" s="183"/>
      <c r="Q142" s="103"/>
      <c r="R142" s="83"/>
      <c r="S142" s="96"/>
      <c r="T142" s="84"/>
      <c r="U142" s="96"/>
      <c r="V142" s="84"/>
      <c r="W142" s="120"/>
      <c r="X142" s="86"/>
    </row>
    <row r="143" spans="1:24" s="85" customFormat="1" ht="25.15" customHeight="1">
      <c r="A143" s="111"/>
      <c r="B143" s="113">
        <v>127</v>
      </c>
      <c r="C143" s="217"/>
      <c r="D143" s="96">
        <v>0</v>
      </c>
      <c r="E143" s="79" t="s">
        <v>40</v>
      </c>
      <c r="F143" s="102" t="s">
        <v>40</v>
      </c>
      <c r="G143" s="222" t="s">
        <v>251</v>
      </c>
      <c r="H143" s="222"/>
      <c r="I143" s="222"/>
      <c r="J143" s="222"/>
      <c r="K143" s="80" t="s">
        <v>40</v>
      </c>
      <c r="L143" s="96"/>
      <c r="M143" s="96"/>
      <c r="N143" s="82"/>
      <c r="O143" s="183"/>
      <c r="P143" s="183"/>
      <c r="Q143" s="96"/>
      <c r="R143" s="96"/>
      <c r="S143" s="96"/>
      <c r="T143" s="84"/>
      <c r="U143" s="96"/>
      <c r="V143" s="84"/>
      <c r="W143" s="120"/>
      <c r="X143" s="86"/>
    </row>
    <row r="144" spans="1:24" s="85" customFormat="1" ht="25.15" customHeight="1" thickBot="1">
      <c r="A144" s="111"/>
      <c r="B144" s="119">
        <v>128</v>
      </c>
      <c r="C144" s="217"/>
      <c r="D144" s="96">
        <v>0</v>
      </c>
      <c r="E144" s="79">
        <v>495065</v>
      </c>
      <c r="F144" s="102" t="s">
        <v>40</v>
      </c>
      <c r="G144" s="222" t="s">
        <v>252</v>
      </c>
      <c r="H144" s="222"/>
      <c r="I144" s="222"/>
      <c r="J144" s="222"/>
      <c r="K144" s="80" t="s">
        <v>40</v>
      </c>
      <c r="L144" s="96"/>
      <c r="M144" s="96"/>
      <c r="N144" s="82"/>
      <c r="O144" s="183"/>
      <c r="P144" s="183"/>
      <c r="Q144" s="103"/>
      <c r="R144" s="83"/>
      <c r="S144" s="96"/>
      <c r="T144" s="84"/>
      <c r="U144" s="96"/>
      <c r="V144" s="84"/>
      <c r="W144" s="120"/>
      <c r="X144" s="86"/>
    </row>
    <row r="145" spans="1:24" s="85" customFormat="1" ht="25.15" customHeight="1">
      <c r="A145" s="111"/>
      <c r="B145" s="113">
        <v>129</v>
      </c>
      <c r="C145" s="217"/>
      <c r="D145" s="96">
        <v>1</v>
      </c>
      <c r="E145" s="79">
        <v>495062</v>
      </c>
      <c r="F145" s="102">
        <v>14404</v>
      </c>
      <c r="G145" s="222" t="s">
        <v>253</v>
      </c>
      <c r="H145" s="222"/>
      <c r="I145" s="222"/>
      <c r="J145" s="222"/>
      <c r="K145" s="80" t="s">
        <v>43</v>
      </c>
      <c r="L145" s="96"/>
      <c r="M145" s="96"/>
      <c r="N145" s="82"/>
      <c r="O145" s="183"/>
      <c r="P145" s="183"/>
      <c r="Q145" s="96"/>
      <c r="R145" s="96"/>
      <c r="S145" s="96"/>
      <c r="T145" s="84"/>
      <c r="U145" s="96"/>
      <c r="V145" s="84"/>
      <c r="W145" s="120"/>
      <c r="X145" s="86"/>
    </row>
    <row r="146" spans="1:24" s="85" customFormat="1" ht="25.15" customHeight="1" thickBot="1">
      <c r="A146" s="111"/>
      <c r="B146" s="119">
        <v>130</v>
      </c>
      <c r="C146" s="217"/>
      <c r="D146" s="96">
        <v>1</v>
      </c>
      <c r="E146" s="79">
        <v>495064</v>
      </c>
      <c r="F146" s="102" t="s">
        <v>254</v>
      </c>
      <c r="G146" s="222" t="s">
        <v>255</v>
      </c>
      <c r="H146" s="222"/>
      <c r="I146" s="222"/>
      <c r="J146" s="222"/>
      <c r="K146" s="102" t="s">
        <v>43</v>
      </c>
      <c r="L146" s="96"/>
      <c r="M146" s="96"/>
      <c r="N146" s="82"/>
      <c r="O146" s="183"/>
      <c r="P146" s="183"/>
      <c r="Q146" s="96"/>
      <c r="R146" s="96"/>
      <c r="S146" s="96"/>
      <c r="T146" s="84"/>
      <c r="U146" s="96"/>
      <c r="V146" s="84"/>
      <c r="W146" s="120"/>
      <c r="X146" s="86"/>
    </row>
    <row r="147" spans="1:24" s="85" customFormat="1" ht="25.15" customHeight="1">
      <c r="A147" s="111"/>
      <c r="B147" s="113">
        <v>131</v>
      </c>
      <c r="C147" s="217"/>
      <c r="D147" s="96">
        <v>1</v>
      </c>
      <c r="E147" s="79">
        <v>495068</v>
      </c>
      <c r="F147" s="80" t="s">
        <v>256</v>
      </c>
      <c r="G147" s="222" t="s">
        <v>257</v>
      </c>
      <c r="H147" s="222"/>
      <c r="I147" s="222"/>
      <c r="J147" s="222"/>
      <c r="K147" s="80" t="s">
        <v>50</v>
      </c>
      <c r="L147" s="148"/>
      <c r="M147" s="96"/>
      <c r="N147" s="82"/>
      <c r="O147" s="183"/>
      <c r="P147" s="183"/>
      <c r="Q147" s="96"/>
      <c r="R147" s="96"/>
      <c r="S147" s="96"/>
      <c r="T147" s="84"/>
      <c r="U147" s="96"/>
      <c r="V147" s="84"/>
      <c r="W147" s="120"/>
      <c r="X147" s="86"/>
    </row>
    <row r="148" spans="1:24" s="85" customFormat="1" ht="25.15" customHeight="1" thickBot="1">
      <c r="A148" s="111"/>
      <c r="B148" s="119">
        <v>132</v>
      </c>
      <c r="C148" s="217"/>
      <c r="D148" s="96">
        <v>0</v>
      </c>
      <c r="E148" s="79">
        <v>495063</v>
      </c>
      <c r="F148" s="102" t="s">
        <v>40</v>
      </c>
      <c r="G148" s="221" t="s">
        <v>258</v>
      </c>
      <c r="H148" s="221"/>
      <c r="I148" s="221"/>
      <c r="J148" s="221"/>
      <c r="K148" s="80" t="s">
        <v>40</v>
      </c>
      <c r="L148" s="96"/>
      <c r="M148" s="96"/>
      <c r="N148" s="82"/>
      <c r="O148" s="183"/>
      <c r="P148" s="183"/>
      <c r="Q148" s="96"/>
      <c r="R148" s="96"/>
      <c r="S148" s="96"/>
      <c r="T148" s="84"/>
      <c r="U148" s="96"/>
      <c r="V148" s="84"/>
      <c r="W148" s="120"/>
      <c r="X148" s="86"/>
    </row>
    <row r="149" spans="1:24" s="85" customFormat="1" ht="25.15" customHeight="1">
      <c r="A149" s="111"/>
      <c r="B149" s="113">
        <v>133</v>
      </c>
      <c r="C149" s="217"/>
      <c r="D149" s="96">
        <v>0</v>
      </c>
      <c r="E149" s="79">
        <v>495066</v>
      </c>
      <c r="F149" s="102" t="s">
        <v>40</v>
      </c>
      <c r="G149" s="222" t="s">
        <v>259</v>
      </c>
      <c r="H149" s="222"/>
      <c r="I149" s="222"/>
      <c r="J149" s="222"/>
      <c r="K149" s="80" t="s">
        <v>40</v>
      </c>
      <c r="L149" s="96"/>
      <c r="M149" s="96"/>
      <c r="N149" s="82"/>
      <c r="O149" s="183"/>
      <c r="P149" s="183"/>
      <c r="Q149" s="96"/>
      <c r="R149" s="96"/>
      <c r="S149" s="96"/>
      <c r="T149" s="84"/>
      <c r="U149" s="96"/>
      <c r="V149" s="84"/>
      <c r="W149" s="120"/>
      <c r="X149" s="86"/>
    </row>
    <row r="150" spans="1:24" s="85" customFormat="1" ht="25.15" customHeight="1" thickBot="1">
      <c r="A150" s="111"/>
      <c r="B150" s="119">
        <v>134</v>
      </c>
      <c r="C150" s="218"/>
      <c r="D150" s="90">
        <v>0</v>
      </c>
      <c r="E150" s="123">
        <v>495067</v>
      </c>
      <c r="F150" s="124" t="s">
        <v>40</v>
      </c>
      <c r="G150" s="224" t="s">
        <v>260</v>
      </c>
      <c r="H150" s="224"/>
      <c r="I150" s="224"/>
      <c r="J150" s="224"/>
      <c r="K150" s="80" t="s">
        <v>40</v>
      </c>
      <c r="L150" s="90"/>
      <c r="M150" s="90"/>
      <c r="N150" s="90"/>
      <c r="O150" s="225"/>
      <c r="P150" s="225"/>
      <c r="Q150" s="90"/>
      <c r="R150" s="90"/>
      <c r="S150" s="90"/>
      <c r="T150" s="93"/>
      <c r="U150" s="90"/>
      <c r="V150" s="93"/>
      <c r="W150" s="125"/>
      <c r="X150" s="86"/>
    </row>
    <row r="151" spans="1:24" s="85" customFormat="1" ht="25.15" customHeight="1">
      <c r="A151" s="111"/>
      <c r="B151" s="113">
        <v>135</v>
      </c>
      <c r="C151" s="87"/>
      <c r="D151" s="95">
        <v>1</v>
      </c>
      <c r="E151" s="114">
        <v>495624</v>
      </c>
      <c r="F151" s="126" t="s">
        <v>261</v>
      </c>
      <c r="G151" s="232" t="s">
        <v>262</v>
      </c>
      <c r="H151" s="232"/>
      <c r="I151" s="232"/>
      <c r="J151" s="232"/>
      <c r="K151" s="116" t="s">
        <v>149</v>
      </c>
      <c r="L151" s="95"/>
      <c r="M151" s="95"/>
      <c r="N151" s="95"/>
      <c r="O151" s="220"/>
      <c r="P151" s="220"/>
      <c r="Q151" s="95"/>
      <c r="R151" s="95"/>
      <c r="S151" s="95"/>
      <c r="T151" s="89"/>
      <c r="U151" s="95"/>
      <c r="V151" s="89"/>
      <c r="W151" s="118"/>
      <c r="X151" s="86"/>
    </row>
    <row r="152" spans="1:24" s="85" customFormat="1" ht="25.15" customHeight="1" thickBot="1">
      <c r="A152" s="111"/>
      <c r="B152" s="119">
        <v>136</v>
      </c>
      <c r="C152" s="241" t="s">
        <v>263</v>
      </c>
      <c r="D152" s="96">
        <v>1</v>
      </c>
      <c r="E152" s="102">
        <v>496057</v>
      </c>
      <c r="F152" s="102" t="s">
        <v>264</v>
      </c>
      <c r="G152" s="243" t="s">
        <v>265</v>
      </c>
      <c r="H152" s="243"/>
      <c r="I152" s="243"/>
      <c r="J152" s="243"/>
      <c r="K152" s="102" t="s">
        <v>78</v>
      </c>
      <c r="L152" s="149"/>
      <c r="M152" s="96"/>
      <c r="N152" s="96"/>
      <c r="O152" s="183"/>
      <c r="P152" s="183"/>
      <c r="Q152" s="96"/>
      <c r="R152" s="96"/>
      <c r="S152" s="96"/>
      <c r="T152" s="84"/>
      <c r="U152" s="96"/>
      <c r="V152" s="84"/>
      <c r="W152" s="120"/>
      <c r="X152" s="86"/>
    </row>
    <row r="153" spans="1:24" s="85" customFormat="1" ht="25.15" customHeight="1" thickBot="1">
      <c r="A153" s="111"/>
      <c r="B153" s="113">
        <v>137</v>
      </c>
      <c r="C153" s="241"/>
      <c r="D153" s="96">
        <v>0</v>
      </c>
      <c r="E153" s="102">
        <v>495033</v>
      </c>
      <c r="F153" s="102" t="s">
        <v>40</v>
      </c>
      <c r="G153" s="234" t="s">
        <v>266</v>
      </c>
      <c r="H153" s="234"/>
      <c r="I153" s="234"/>
      <c r="J153" s="234"/>
      <c r="K153" s="80" t="s">
        <v>40</v>
      </c>
      <c r="L153" s="96"/>
      <c r="M153" s="96"/>
      <c r="N153" s="96"/>
      <c r="O153" s="183"/>
      <c r="P153" s="183"/>
      <c r="Q153" s="96"/>
      <c r="R153" s="96"/>
      <c r="S153" s="96"/>
      <c r="T153" s="84"/>
      <c r="U153" s="96"/>
      <c r="V153" s="84"/>
      <c r="W153" s="121"/>
      <c r="X153" s="86"/>
    </row>
    <row r="154" spans="1:24" s="85" customFormat="1" ht="25.15" customHeight="1">
      <c r="A154" s="111"/>
      <c r="B154" s="113">
        <v>139</v>
      </c>
      <c r="C154" s="241"/>
      <c r="D154" s="96">
        <v>1</v>
      </c>
      <c r="E154" s="102" t="s">
        <v>40</v>
      </c>
      <c r="F154" s="102" t="s">
        <v>267</v>
      </c>
      <c r="G154" s="245" t="s">
        <v>268</v>
      </c>
      <c r="H154" s="246"/>
      <c r="I154" s="246"/>
      <c r="J154" s="247"/>
      <c r="K154" s="80" t="s">
        <v>50</v>
      </c>
      <c r="L154" s="96"/>
      <c r="M154" s="96"/>
      <c r="N154" s="96"/>
      <c r="O154" s="96"/>
      <c r="P154" s="96"/>
      <c r="Q154" s="96"/>
      <c r="R154" s="96"/>
      <c r="S154" s="96"/>
      <c r="T154" s="84"/>
      <c r="U154" s="96"/>
      <c r="V154" s="84"/>
      <c r="W154" s="121"/>
      <c r="X154" s="86"/>
    </row>
    <row r="155" spans="1:24" s="85" customFormat="1" ht="25.15" customHeight="1" thickBot="1">
      <c r="A155" s="111"/>
      <c r="B155" s="119">
        <v>140</v>
      </c>
      <c r="C155" s="241"/>
      <c r="D155" s="96">
        <v>1</v>
      </c>
      <c r="E155" s="102" t="s">
        <v>40</v>
      </c>
      <c r="F155" s="102" t="s">
        <v>269</v>
      </c>
      <c r="G155" s="245" t="s">
        <v>270</v>
      </c>
      <c r="H155" s="246"/>
      <c r="I155" s="246"/>
      <c r="J155" s="247"/>
      <c r="K155" s="80" t="s">
        <v>39</v>
      </c>
      <c r="L155" s="96"/>
      <c r="M155" s="96"/>
      <c r="N155" s="96"/>
      <c r="O155" s="96"/>
      <c r="P155" s="96"/>
      <c r="Q155" s="96"/>
      <c r="R155" s="96"/>
      <c r="S155" s="96"/>
      <c r="T155" s="84"/>
      <c r="U155" s="96"/>
      <c r="V155" s="84"/>
      <c r="W155" s="121"/>
      <c r="X155" s="86"/>
    </row>
    <row r="156" spans="1:24" s="85" customFormat="1" ht="25.15" customHeight="1">
      <c r="A156" s="111"/>
      <c r="B156" s="113">
        <v>141</v>
      </c>
      <c r="C156" s="241"/>
      <c r="D156" s="96">
        <v>1</v>
      </c>
      <c r="E156" s="102" t="s">
        <v>40</v>
      </c>
      <c r="F156" s="102" t="s">
        <v>271</v>
      </c>
      <c r="G156" s="245" t="s">
        <v>272</v>
      </c>
      <c r="H156" s="246"/>
      <c r="I156" s="246"/>
      <c r="J156" s="247"/>
      <c r="K156" s="80" t="s">
        <v>50</v>
      </c>
      <c r="L156" s="96"/>
      <c r="M156" s="96"/>
      <c r="N156" s="96"/>
      <c r="O156" s="96"/>
      <c r="P156" s="96"/>
      <c r="Q156" s="96"/>
      <c r="R156" s="96"/>
      <c r="S156" s="96"/>
      <c r="T156" s="84"/>
      <c r="U156" s="96"/>
      <c r="V156" s="84"/>
      <c r="W156" s="121"/>
      <c r="X156" s="86"/>
    </row>
    <row r="157" spans="1:24" s="85" customFormat="1" ht="25.15" customHeight="1">
      <c r="A157" s="111"/>
      <c r="B157" s="119">
        <v>142</v>
      </c>
      <c r="C157" s="241"/>
      <c r="D157" s="96">
        <v>1</v>
      </c>
      <c r="E157" s="102" t="s">
        <v>40</v>
      </c>
      <c r="F157" s="102" t="s">
        <v>273</v>
      </c>
      <c r="G157" s="245" t="s">
        <v>274</v>
      </c>
      <c r="H157" s="246"/>
      <c r="I157" s="246"/>
      <c r="J157" s="247"/>
      <c r="K157" s="80" t="s">
        <v>50</v>
      </c>
      <c r="L157" s="96"/>
      <c r="M157" s="96"/>
      <c r="N157" s="96"/>
      <c r="O157" s="96"/>
      <c r="P157" s="96"/>
      <c r="Q157" s="96"/>
      <c r="R157" s="96"/>
      <c r="S157" s="96"/>
      <c r="T157" s="84"/>
      <c r="U157" s="96"/>
      <c r="V157" s="84"/>
      <c r="W157" s="121"/>
      <c r="X157" s="86"/>
    </row>
    <row r="158" spans="1:24" s="85" customFormat="1" ht="25.15" customHeight="1" thickBot="1">
      <c r="A158" s="111"/>
      <c r="B158" s="119">
        <v>144</v>
      </c>
      <c r="C158" s="241"/>
      <c r="D158" s="96">
        <v>1</v>
      </c>
      <c r="E158" s="102" t="s">
        <v>40</v>
      </c>
      <c r="F158" s="102" t="s">
        <v>275</v>
      </c>
      <c r="G158" s="245" t="s">
        <v>276</v>
      </c>
      <c r="H158" s="246"/>
      <c r="I158" s="246"/>
      <c r="J158" s="247"/>
      <c r="K158" s="80" t="s">
        <v>39</v>
      </c>
      <c r="L158" s="96"/>
      <c r="M158" s="96"/>
      <c r="N158" s="96"/>
      <c r="O158" s="96"/>
      <c r="P158" s="96"/>
      <c r="Q158" s="96"/>
      <c r="R158" s="96"/>
      <c r="S158" s="96"/>
      <c r="T158" s="84"/>
      <c r="U158" s="96"/>
      <c r="V158" s="84"/>
      <c r="W158" s="121"/>
      <c r="X158" s="86"/>
    </row>
    <row r="159" spans="1:24" s="85" customFormat="1" ht="25.15" customHeight="1">
      <c r="A159" s="111"/>
      <c r="B159" s="113">
        <v>145</v>
      </c>
      <c r="C159" s="241"/>
      <c r="D159" s="96">
        <v>3</v>
      </c>
      <c r="E159" s="102">
        <v>495069</v>
      </c>
      <c r="F159" s="102" t="s">
        <v>277</v>
      </c>
      <c r="G159" s="185" t="s">
        <v>278</v>
      </c>
      <c r="H159" s="185"/>
      <c r="I159" s="185"/>
      <c r="J159" s="185"/>
      <c r="K159" s="80" t="s">
        <v>39</v>
      </c>
      <c r="L159" s="148"/>
      <c r="M159" s="96"/>
      <c r="N159" s="96"/>
      <c r="O159" s="183"/>
      <c r="P159" s="183"/>
      <c r="Q159" s="96"/>
      <c r="R159" s="83"/>
      <c r="S159" s="96"/>
      <c r="T159" s="84"/>
      <c r="U159" s="96"/>
      <c r="V159" s="84"/>
      <c r="W159" s="121"/>
      <c r="X159" s="86"/>
    </row>
    <row r="160" spans="1:24" s="85" customFormat="1" ht="36" customHeight="1" thickBot="1">
      <c r="A160" s="111"/>
      <c r="B160" s="119">
        <v>146</v>
      </c>
      <c r="C160" s="241"/>
      <c r="D160" s="96">
        <v>3</v>
      </c>
      <c r="E160" s="102">
        <v>515835</v>
      </c>
      <c r="F160" s="100" t="s">
        <v>279</v>
      </c>
      <c r="G160" s="185" t="s">
        <v>160</v>
      </c>
      <c r="H160" s="185"/>
      <c r="I160" s="185"/>
      <c r="J160" s="185"/>
      <c r="K160" s="80" t="s">
        <v>50</v>
      </c>
      <c r="L160" s="139" t="s">
        <v>280</v>
      </c>
      <c r="M160" s="96"/>
      <c r="N160" s="96"/>
      <c r="O160" s="183"/>
      <c r="P160" s="183"/>
      <c r="Q160" s="96"/>
      <c r="R160" s="96"/>
      <c r="S160" s="96"/>
      <c r="T160" s="84"/>
      <c r="U160" s="96"/>
      <c r="V160" s="84"/>
      <c r="W160" s="121"/>
      <c r="X160" s="86"/>
    </row>
    <row r="161" spans="1:24" s="85" customFormat="1" ht="25.15" customHeight="1">
      <c r="A161" s="111"/>
      <c r="B161" s="113">
        <v>147</v>
      </c>
      <c r="C161" s="241"/>
      <c r="D161" s="96">
        <v>1</v>
      </c>
      <c r="E161" s="102">
        <v>495027</v>
      </c>
      <c r="F161" s="102" t="s">
        <v>281</v>
      </c>
      <c r="G161" s="185" t="s">
        <v>282</v>
      </c>
      <c r="H161" s="185"/>
      <c r="I161" s="185"/>
      <c r="J161" s="185"/>
      <c r="K161" s="80" t="s">
        <v>39</v>
      </c>
      <c r="L161" s="149"/>
      <c r="M161" s="96"/>
      <c r="N161" s="96"/>
      <c r="O161" s="96"/>
      <c r="P161" s="96"/>
      <c r="Q161" s="96"/>
      <c r="R161" s="83"/>
      <c r="S161" s="96"/>
      <c r="T161" s="84"/>
      <c r="U161" s="96"/>
      <c r="V161" s="84"/>
      <c r="W161" s="121"/>
      <c r="X161" s="86"/>
    </row>
    <row r="162" spans="1:24" s="85" customFormat="1" ht="25.15" customHeight="1" thickBot="1">
      <c r="A162" s="111"/>
      <c r="B162" s="119">
        <v>148</v>
      </c>
      <c r="C162" s="241"/>
      <c r="D162" s="96">
        <v>0</v>
      </c>
      <c r="E162" s="102" t="s">
        <v>40</v>
      </c>
      <c r="F162" s="102" t="s">
        <v>40</v>
      </c>
      <c r="G162" s="185" t="s">
        <v>283</v>
      </c>
      <c r="H162" s="185"/>
      <c r="I162" s="185"/>
      <c r="J162" s="185"/>
      <c r="K162" s="80" t="s">
        <v>40</v>
      </c>
      <c r="L162" s="96"/>
      <c r="M162" s="96"/>
      <c r="N162" s="96"/>
      <c r="O162" s="96"/>
      <c r="P162" s="96"/>
      <c r="Q162" s="96"/>
      <c r="R162" s="83"/>
      <c r="S162" s="96"/>
      <c r="T162" s="84"/>
      <c r="U162" s="96"/>
      <c r="V162" s="84"/>
      <c r="W162" s="121"/>
      <c r="X162" s="86"/>
    </row>
    <row r="163" spans="1:24" s="85" customFormat="1" ht="25.15" customHeight="1">
      <c r="A163" s="111"/>
      <c r="B163" s="113">
        <v>149</v>
      </c>
      <c r="C163" s="241"/>
      <c r="D163" s="96">
        <v>1</v>
      </c>
      <c r="E163" s="102" t="s">
        <v>40</v>
      </c>
      <c r="F163" s="102" t="s">
        <v>284</v>
      </c>
      <c r="G163" s="185" t="s">
        <v>285</v>
      </c>
      <c r="H163" s="185"/>
      <c r="I163" s="185"/>
      <c r="J163" s="185"/>
      <c r="K163" s="80" t="s">
        <v>43</v>
      </c>
      <c r="L163" s="148"/>
      <c r="M163" s="96"/>
      <c r="N163" s="96"/>
      <c r="O163" s="96"/>
      <c r="P163" s="96"/>
      <c r="Q163" s="96"/>
      <c r="R163" s="83"/>
      <c r="S163" s="96"/>
      <c r="T163" s="84"/>
      <c r="U163" s="96"/>
      <c r="V163" s="84"/>
      <c r="W163" s="121"/>
      <c r="X163" s="86"/>
    </row>
    <row r="164" spans="1:24" s="85" customFormat="1" ht="24.6" customHeight="1" thickBot="1">
      <c r="A164" s="111"/>
      <c r="B164" s="119">
        <v>150</v>
      </c>
      <c r="C164" s="241"/>
      <c r="D164" s="96">
        <v>1</v>
      </c>
      <c r="E164" s="102" t="s">
        <v>40</v>
      </c>
      <c r="F164" s="102" t="s">
        <v>286</v>
      </c>
      <c r="G164" s="185" t="s">
        <v>287</v>
      </c>
      <c r="H164" s="185"/>
      <c r="I164" s="185"/>
      <c r="J164" s="185"/>
      <c r="K164" s="80" t="s">
        <v>43</v>
      </c>
      <c r="L164" s="148"/>
      <c r="M164" s="96"/>
      <c r="N164" s="96"/>
      <c r="O164" s="96"/>
      <c r="P164" s="96"/>
      <c r="Q164" s="103"/>
      <c r="R164" s="83"/>
      <c r="S164" s="96"/>
      <c r="T164" s="84"/>
      <c r="U164" s="96"/>
      <c r="V164" s="84"/>
      <c r="W164" s="121"/>
      <c r="X164" s="86"/>
    </row>
    <row r="165" spans="1:24" s="85" customFormat="1" ht="25.15" customHeight="1">
      <c r="A165" s="111"/>
      <c r="B165" s="113">
        <v>151</v>
      </c>
      <c r="C165" s="241"/>
      <c r="D165" s="96">
        <v>1</v>
      </c>
      <c r="E165" s="102">
        <v>495080</v>
      </c>
      <c r="F165" s="102" t="s">
        <v>288</v>
      </c>
      <c r="G165" s="185" t="s">
        <v>289</v>
      </c>
      <c r="H165" s="185"/>
      <c r="I165" s="185"/>
      <c r="J165" s="185"/>
      <c r="K165" s="80" t="s">
        <v>50</v>
      </c>
      <c r="L165" s="149"/>
      <c r="M165" s="96"/>
      <c r="N165" s="96"/>
      <c r="O165" s="96"/>
      <c r="P165" s="110"/>
      <c r="Q165" s="103"/>
      <c r="R165" s="83"/>
      <c r="S165" s="83"/>
      <c r="T165" s="84"/>
      <c r="U165" s="96"/>
      <c r="V165" s="84"/>
      <c r="W165" s="121"/>
      <c r="X165" s="86"/>
    </row>
    <row r="166" spans="1:24" s="85" customFormat="1" ht="25.15" customHeight="1" thickBot="1">
      <c r="A166" s="111"/>
      <c r="B166" s="119">
        <v>152</v>
      </c>
      <c r="C166" s="241"/>
      <c r="D166" s="97">
        <v>1</v>
      </c>
      <c r="E166" s="105">
        <v>616095</v>
      </c>
      <c r="F166" s="105" t="s">
        <v>290</v>
      </c>
      <c r="G166" s="184" t="s">
        <v>291</v>
      </c>
      <c r="H166" s="184"/>
      <c r="I166" s="184"/>
      <c r="J166" s="184"/>
      <c r="K166" s="107" t="s">
        <v>43</v>
      </c>
      <c r="L166" s="148"/>
      <c r="M166" s="96"/>
      <c r="N166" s="96"/>
      <c r="O166" s="96"/>
      <c r="P166" s="96"/>
      <c r="Q166" s="103"/>
      <c r="R166" s="83"/>
      <c r="S166" s="96"/>
      <c r="T166" s="84"/>
      <c r="U166" s="96"/>
      <c r="V166" s="84"/>
      <c r="W166" s="121"/>
      <c r="X166" s="86"/>
    </row>
    <row r="167" spans="1:24" s="85" customFormat="1" ht="25.15" customHeight="1">
      <c r="A167" s="111"/>
      <c r="B167" s="113">
        <v>153</v>
      </c>
      <c r="C167" s="241"/>
      <c r="D167" s="97">
        <v>1</v>
      </c>
      <c r="E167" s="105">
        <v>495087</v>
      </c>
      <c r="F167" s="105" t="s">
        <v>292</v>
      </c>
      <c r="G167" s="184" t="s">
        <v>293</v>
      </c>
      <c r="H167" s="184"/>
      <c r="I167" s="184"/>
      <c r="J167" s="184"/>
      <c r="K167" s="107" t="s">
        <v>50</v>
      </c>
      <c r="L167" s="148"/>
      <c r="M167" s="96"/>
      <c r="N167" s="96"/>
      <c r="O167" s="96"/>
      <c r="P167" s="96"/>
      <c r="Q167" s="103"/>
      <c r="R167" s="83"/>
      <c r="S167" s="96"/>
      <c r="T167" s="84"/>
      <c r="U167" s="96"/>
      <c r="V167" s="84"/>
      <c r="W167" s="121"/>
      <c r="X167" s="86"/>
    </row>
    <row r="168" spans="1:24" s="85" customFormat="1" ht="31.5" customHeight="1" thickBot="1">
      <c r="A168" s="111"/>
      <c r="B168" s="119">
        <v>154</v>
      </c>
      <c r="C168" s="241"/>
      <c r="D168" s="97">
        <v>1</v>
      </c>
      <c r="E168" s="105">
        <v>505091</v>
      </c>
      <c r="F168" s="105" t="s">
        <v>294</v>
      </c>
      <c r="G168" s="184" t="s">
        <v>295</v>
      </c>
      <c r="H168" s="184"/>
      <c r="I168" s="184"/>
      <c r="J168" s="184"/>
      <c r="K168" s="107" t="s">
        <v>50</v>
      </c>
      <c r="L168" s="96"/>
      <c r="M168" s="96"/>
      <c r="N168" s="96"/>
      <c r="O168" s="83"/>
      <c r="P168" s="96"/>
      <c r="Q168" s="103"/>
      <c r="R168" s="83"/>
      <c r="S168" s="96"/>
      <c r="T168" s="84"/>
      <c r="U168" s="96"/>
      <c r="V168" s="84"/>
      <c r="W168" s="121"/>
      <c r="X168" s="86"/>
    </row>
    <row r="169" spans="1:24" s="85" customFormat="1" ht="25.15" customHeight="1">
      <c r="A169" s="111"/>
      <c r="B169" s="113">
        <v>155</v>
      </c>
      <c r="C169" s="241"/>
      <c r="D169" s="96">
        <v>1</v>
      </c>
      <c r="E169" s="102">
        <v>495079</v>
      </c>
      <c r="F169" s="102" t="s">
        <v>296</v>
      </c>
      <c r="G169" s="185" t="s">
        <v>297</v>
      </c>
      <c r="H169" s="185"/>
      <c r="I169" s="185"/>
      <c r="J169" s="185"/>
      <c r="K169" s="80" t="s">
        <v>43</v>
      </c>
      <c r="L169" s="96"/>
      <c r="M169" s="96"/>
      <c r="N169" s="96"/>
      <c r="O169" s="96"/>
      <c r="P169" s="96"/>
      <c r="Q169" s="96"/>
      <c r="R169" s="83"/>
      <c r="S169" s="96"/>
      <c r="T169" s="84"/>
      <c r="U169" s="96"/>
      <c r="V169" s="84"/>
      <c r="W169" s="121"/>
      <c r="X169" s="86"/>
    </row>
    <row r="170" spans="1:24" s="85" customFormat="1" ht="25.15" customHeight="1" thickBot="1">
      <c r="A170" s="111"/>
      <c r="B170" s="119">
        <v>156</v>
      </c>
      <c r="C170" s="241"/>
      <c r="D170" s="96">
        <v>1</v>
      </c>
      <c r="E170" s="102">
        <v>57407</v>
      </c>
      <c r="F170" s="102" t="s">
        <v>298</v>
      </c>
      <c r="G170" s="185" t="s">
        <v>299</v>
      </c>
      <c r="H170" s="185"/>
      <c r="I170" s="185"/>
      <c r="J170" s="185"/>
      <c r="K170" s="102" t="s">
        <v>39</v>
      </c>
      <c r="L170" s="149"/>
      <c r="M170" s="96"/>
      <c r="N170" s="96"/>
      <c r="O170" s="96"/>
      <c r="P170" s="96"/>
      <c r="Q170" s="96"/>
      <c r="R170" s="96"/>
      <c r="S170" s="96"/>
      <c r="T170" s="84"/>
      <c r="U170" s="96"/>
      <c r="V170" s="84"/>
      <c r="W170" s="121"/>
      <c r="X170" s="86"/>
    </row>
    <row r="171" spans="1:24" s="85" customFormat="1" ht="25.15" customHeight="1">
      <c r="A171" s="111"/>
      <c r="B171" s="113">
        <v>157</v>
      </c>
      <c r="C171" s="241"/>
      <c r="D171" s="96">
        <v>0</v>
      </c>
      <c r="E171" s="102" t="s">
        <v>40</v>
      </c>
      <c r="F171" s="102" t="s">
        <v>40</v>
      </c>
      <c r="G171" s="185" t="s">
        <v>300</v>
      </c>
      <c r="H171" s="185"/>
      <c r="I171" s="185"/>
      <c r="J171" s="185"/>
      <c r="K171" s="80" t="s">
        <v>40</v>
      </c>
      <c r="L171" s="96"/>
      <c r="M171" s="96"/>
      <c r="N171" s="104"/>
      <c r="O171" s="96"/>
      <c r="P171" s="96"/>
      <c r="Q171" s="96"/>
      <c r="R171" s="83"/>
      <c r="S171" s="96"/>
      <c r="T171" s="84"/>
      <c r="U171" s="96"/>
      <c r="V171" s="84"/>
      <c r="W171" s="121"/>
      <c r="X171" s="86"/>
    </row>
    <row r="172" spans="1:24" s="85" customFormat="1" ht="25.15" customHeight="1" thickBot="1">
      <c r="A172" s="111"/>
      <c r="B172" s="119">
        <v>158</v>
      </c>
      <c r="C172" s="241"/>
      <c r="D172" s="96">
        <v>1</v>
      </c>
      <c r="E172" s="102" t="s">
        <v>40</v>
      </c>
      <c r="F172" s="102" t="s">
        <v>301</v>
      </c>
      <c r="G172" s="185" t="s">
        <v>302</v>
      </c>
      <c r="H172" s="185"/>
      <c r="I172" s="185"/>
      <c r="J172" s="185"/>
      <c r="K172" s="102" t="s">
        <v>39</v>
      </c>
      <c r="L172" s="96"/>
      <c r="M172" s="96"/>
      <c r="N172" s="104"/>
      <c r="O172" s="96"/>
      <c r="P172" s="96"/>
      <c r="Q172" s="96"/>
      <c r="R172" s="83"/>
      <c r="S172" s="96"/>
      <c r="T172" s="84"/>
      <c r="U172" s="96"/>
      <c r="V172" s="84"/>
      <c r="W172" s="121"/>
      <c r="X172" s="86"/>
    </row>
    <row r="173" spans="1:24" s="85" customFormat="1" ht="25.15" customHeight="1">
      <c r="A173" s="111"/>
      <c r="B173" s="113">
        <v>159</v>
      </c>
      <c r="C173" s="241"/>
      <c r="D173" s="96">
        <v>1</v>
      </c>
      <c r="E173" s="102" t="s">
        <v>40</v>
      </c>
      <c r="F173" s="179" t="s">
        <v>303</v>
      </c>
      <c r="G173" s="185" t="s">
        <v>302</v>
      </c>
      <c r="H173" s="185"/>
      <c r="I173" s="185"/>
      <c r="J173" s="185"/>
      <c r="K173" s="102" t="s">
        <v>39</v>
      </c>
      <c r="L173" s="148"/>
      <c r="M173" s="96"/>
      <c r="N173" s="96"/>
      <c r="O173" s="96"/>
      <c r="P173" s="96"/>
      <c r="Q173" s="96"/>
      <c r="R173" s="96"/>
      <c r="S173" s="96"/>
      <c r="T173" s="84"/>
      <c r="U173" s="96"/>
      <c r="V173" s="84"/>
      <c r="W173" s="121"/>
      <c r="X173" s="86"/>
    </row>
    <row r="174" spans="1:24" s="85" customFormat="1" ht="25.15" customHeight="1" thickBot="1">
      <c r="A174" s="111"/>
      <c r="B174" s="119">
        <v>160</v>
      </c>
      <c r="C174" s="241"/>
      <c r="D174" s="96">
        <v>3</v>
      </c>
      <c r="E174" s="102" t="s">
        <v>40</v>
      </c>
      <c r="F174" s="102" t="s">
        <v>40</v>
      </c>
      <c r="G174" s="185" t="s">
        <v>304</v>
      </c>
      <c r="H174" s="185"/>
      <c r="I174" s="185"/>
      <c r="J174" s="185"/>
      <c r="K174" s="80" t="s">
        <v>39</v>
      </c>
      <c r="L174" s="96"/>
      <c r="M174" s="96"/>
      <c r="N174" s="96"/>
      <c r="O174" s="96"/>
      <c r="P174" s="96"/>
      <c r="Q174" s="96"/>
      <c r="R174" s="96"/>
      <c r="S174" s="96"/>
      <c r="T174" s="84"/>
      <c r="U174" s="96"/>
      <c r="V174" s="84"/>
      <c r="W174" s="121"/>
      <c r="X174" s="86"/>
    </row>
    <row r="175" spans="1:24" s="85" customFormat="1" ht="25.15" customHeight="1">
      <c r="A175" s="111"/>
      <c r="B175" s="113">
        <v>161</v>
      </c>
      <c r="C175" s="241"/>
      <c r="D175" s="96">
        <v>1</v>
      </c>
      <c r="E175" s="102" t="s">
        <v>40</v>
      </c>
      <c r="F175" s="102">
        <v>669304</v>
      </c>
      <c r="G175" s="185" t="s">
        <v>305</v>
      </c>
      <c r="H175" s="185"/>
      <c r="I175" s="185"/>
      <c r="J175" s="185"/>
      <c r="K175" s="80" t="s">
        <v>39</v>
      </c>
      <c r="L175" s="148"/>
      <c r="M175" s="96"/>
      <c r="N175" s="104"/>
      <c r="O175" s="96"/>
      <c r="P175" s="96"/>
      <c r="Q175" s="96"/>
      <c r="R175" s="83"/>
      <c r="S175" s="96"/>
      <c r="T175" s="84"/>
      <c r="U175" s="96"/>
      <c r="V175" s="84"/>
      <c r="W175" s="121"/>
      <c r="X175" s="86"/>
    </row>
    <row r="176" spans="1:24" s="85" customFormat="1" ht="25.15" customHeight="1" thickBot="1">
      <c r="A176" s="111"/>
      <c r="B176" s="119">
        <v>162</v>
      </c>
      <c r="C176" s="241"/>
      <c r="D176" s="96">
        <v>1</v>
      </c>
      <c r="E176" s="102" t="s">
        <v>40</v>
      </c>
      <c r="F176" s="102" t="s">
        <v>40</v>
      </c>
      <c r="G176" s="235" t="s">
        <v>306</v>
      </c>
      <c r="H176" s="236"/>
      <c r="I176" s="236"/>
      <c r="J176" s="237"/>
      <c r="K176" s="80" t="s">
        <v>39</v>
      </c>
      <c r="L176" s="148"/>
      <c r="M176" s="96"/>
      <c r="N176" s="104"/>
      <c r="O176" s="96"/>
      <c r="P176" s="96"/>
      <c r="Q176" s="96"/>
      <c r="R176" s="83"/>
      <c r="S176" s="96"/>
      <c r="T176" s="84"/>
      <c r="U176" s="96"/>
      <c r="V176" s="84"/>
      <c r="W176" s="121"/>
      <c r="X176" s="86"/>
    </row>
    <row r="177" spans="1:24" s="85" customFormat="1" ht="25.15" customHeight="1">
      <c r="A177" s="111"/>
      <c r="B177" s="113">
        <v>163</v>
      </c>
      <c r="C177" s="241"/>
      <c r="D177" s="96">
        <v>1</v>
      </c>
      <c r="E177" s="102" t="s">
        <v>40</v>
      </c>
      <c r="F177" s="102" t="s">
        <v>40</v>
      </c>
      <c r="G177" s="235" t="s">
        <v>307</v>
      </c>
      <c r="H177" s="236"/>
      <c r="I177" s="236"/>
      <c r="J177" s="237"/>
      <c r="K177" s="80" t="s">
        <v>39</v>
      </c>
      <c r="L177" s="148"/>
      <c r="M177" s="96"/>
      <c r="N177" s="104"/>
      <c r="O177" s="96"/>
      <c r="P177" s="96"/>
      <c r="Q177" s="96"/>
      <c r="R177" s="83"/>
      <c r="S177" s="96"/>
      <c r="T177" s="84"/>
      <c r="U177" s="96"/>
      <c r="V177" s="84"/>
      <c r="W177" s="121"/>
      <c r="X177" s="86"/>
    </row>
    <row r="178" spans="1:24" s="85" customFormat="1" ht="25.15" customHeight="1" thickBot="1">
      <c r="A178" s="111"/>
      <c r="B178" s="119">
        <v>164</v>
      </c>
      <c r="C178" s="241"/>
      <c r="D178" s="96">
        <v>1</v>
      </c>
      <c r="E178" s="102" t="s">
        <v>40</v>
      </c>
      <c r="F178" s="102" t="s">
        <v>40</v>
      </c>
      <c r="G178" s="235" t="s">
        <v>308</v>
      </c>
      <c r="H178" s="236"/>
      <c r="I178" s="236"/>
      <c r="J178" s="237"/>
      <c r="K178" s="80" t="s">
        <v>43</v>
      </c>
      <c r="L178" s="148"/>
      <c r="M178" s="96"/>
      <c r="N178" s="104"/>
      <c r="O178" s="96"/>
      <c r="P178" s="96"/>
      <c r="Q178" s="96"/>
      <c r="R178" s="83"/>
      <c r="S178" s="96"/>
      <c r="T178" s="84"/>
      <c r="U178" s="96"/>
      <c r="V178" s="84"/>
      <c r="W178" s="121"/>
      <c r="X178" s="86"/>
    </row>
    <row r="179" spans="1:24" s="85" customFormat="1" ht="25.15" customHeight="1">
      <c r="A179" s="111"/>
      <c r="B179" s="113">
        <v>165</v>
      </c>
      <c r="C179" s="241"/>
      <c r="D179" s="96">
        <v>1</v>
      </c>
      <c r="E179" s="102" t="s">
        <v>40</v>
      </c>
      <c r="F179" s="102" t="s">
        <v>40</v>
      </c>
      <c r="G179" s="185" t="s">
        <v>309</v>
      </c>
      <c r="H179" s="185"/>
      <c r="I179" s="185"/>
      <c r="J179" s="185"/>
      <c r="K179" s="80" t="s">
        <v>174</v>
      </c>
      <c r="L179" s="80"/>
      <c r="M179" s="96"/>
      <c r="N179" s="104"/>
      <c r="O179" s="96"/>
      <c r="P179" s="96"/>
      <c r="Q179" s="96"/>
      <c r="R179" s="83"/>
      <c r="S179" s="96"/>
      <c r="T179" s="84"/>
      <c r="U179" s="96"/>
      <c r="V179" s="84"/>
      <c r="W179" s="121"/>
      <c r="X179" s="86"/>
    </row>
    <row r="180" spans="1:24" s="85" customFormat="1" ht="25.15" customHeight="1" thickBot="1">
      <c r="A180" s="111"/>
      <c r="B180" s="119">
        <v>166</v>
      </c>
      <c r="C180" s="241"/>
      <c r="D180" s="96">
        <v>1</v>
      </c>
      <c r="E180" s="102" t="s">
        <v>40</v>
      </c>
      <c r="F180" s="102" t="s">
        <v>40</v>
      </c>
      <c r="G180" s="185" t="s">
        <v>310</v>
      </c>
      <c r="H180" s="185"/>
      <c r="I180" s="185"/>
      <c r="J180" s="185"/>
      <c r="K180" s="80" t="s">
        <v>174</v>
      </c>
      <c r="L180" s="96"/>
      <c r="M180" s="96"/>
      <c r="N180" s="104"/>
      <c r="O180" s="96"/>
      <c r="P180" s="96"/>
      <c r="Q180" s="96"/>
      <c r="R180" s="83"/>
      <c r="S180" s="96"/>
      <c r="T180" s="84"/>
      <c r="U180" s="96"/>
      <c r="V180" s="84"/>
      <c r="W180" s="121"/>
      <c r="X180" s="86"/>
    </row>
    <row r="181" spans="1:24" s="85" customFormat="1" ht="25.15" customHeight="1" thickBot="1">
      <c r="A181" s="111"/>
      <c r="B181" s="113">
        <v>167</v>
      </c>
      <c r="C181" s="242"/>
      <c r="D181" s="90">
        <v>2</v>
      </c>
      <c r="E181" s="124" t="s">
        <v>40</v>
      </c>
      <c r="F181" s="124" t="s">
        <v>311</v>
      </c>
      <c r="G181" s="244" t="s">
        <v>312</v>
      </c>
      <c r="H181" s="244"/>
      <c r="I181" s="244"/>
      <c r="J181" s="244"/>
      <c r="K181" s="124" t="s">
        <v>39</v>
      </c>
      <c r="L181" s="152"/>
      <c r="M181" s="90"/>
      <c r="N181" s="90"/>
      <c r="O181" s="225"/>
      <c r="P181" s="225"/>
      <c r="Q181" s="90"/>
      <c r="R181" s="90"/>
      <c r="S181" s="90"/>
      <c r="T181" s="93"/>
      <c r="U181" s="90"/>
      <c r="V181" s="90"/>
      <c r="W181" s="136"/>
      <c r="X181" s="86"/>
    </row>
    <row r="182" spans="1:24" ht="14.45"/>
    <row r="183" spans="1:24" ht="14.45"/>
    <row r="184" spans="1:24" ht="14.45"/>
    <row r="185" spans="1:24" ht="14.45"/>
    <row r="186" spans="1:24" ht="14.45"/>
    <row r="187" spans="1:24" ht="14.45"/>
    <row r="188" spans="1:24" ht="14.65" customHeight="1"/>
    <row r="189" spans="1:24" ht="14.65" customHeight="1"/>
    <row r="190" spans="1:24" ht="14.65" customHeight="1"/>
    <row r="191" spans="1:24" ht="14.65" customHeight="1"/>
    <row r="192" spans="1:24" ht="14.65" customHeight="1"/>
    <row r="193" ht="14.65" customHeight="1"/>
    <row r="194" ht="14.65" customHeight="1"/>
    <row r="195" ht="14.65" customHeight="1"/>
    <row r="196" ht="14.65" customHeight="1"/>
    <row r="197" ht="14.65" customHeight="1"/>
    <row r="198" ht="14.65" customHeight="1"/>
    <row r="199" ht="14.65" customHeight="1"/>
    <row r="200" ht="14.65" customHeight="1"/>
    <row r="201" ht="14.65" customHeight="1"/>
    <row r="202" ht="14.65" customHeight="1"/>
    <row r="203" ht="14.65" customHeight="1"/>
    <row r="204" ht="14.65" customHeight="1"/>
    <row r="205" ht="14.65" customHeight="1"/>
    <row r="206" ht="14.65" customHeight="1"/>
    <row r="207" ht="14.65" customHeight="1"/>
    <row r="208" ht="14.65" customHeight="1"/>
    <row r="209" ht="14.65" customHeight="1"/>
    <row r="210" ht="14.65" customHeight="1"/>
    <row r="211" ht="14.65" customHeight="1"/>
    <row r="212" ht="14.65" customHeight="1"/>
    <row r="213" ht="14.65" customHeight="1"/>
    <row r="214" ht="14.65" customHeight="1"/>
    <row r="215" ht="14.65" customHeight="1"/>
    <row r="216" ht="14.65" customHeight="1"/>
    <row r="217" ht="14.65" customHeight="1"/>
  </sheetData>
  <autoFilter ref="A11:X181" xr:uid="{00000000-0009-0000-0000-000000000000}">
    <filterColumn colId="6" showButton="0"/>
    <filterColumn colId="7" showButton="0"/>
    <filterColumn colId="8" showButton="0"/>
    <filterColumn colId="14" showButton="0"/>
  </autoFilter>
  <mergeCells count="337">
    <mergeCell ref="G14:J14"/>
    <mergeCell ref="G102:J102"/>
    <mergeCell ref="G56:J56"/>
    <mergeCell ref="G57:J57"/>
    <mergeCell ref="G156:J156"/>
    <mergeCell ref="G155:J155"/>
    <mergeCell ref="G154:J154"/>
    <mergeCell ref="G157:J157"/>
    <mergeCell ref="G101:J101"/>
    <mergeCell ref="G93:J93"/>
    <mergeCell ref="G35:J35"/>
    <mergeCell ref="G33:J33"/>
    <mergeCell ref="G25:J25"/>
    <mergeCell ref="G18:J18"/>
    <mergeCell ref="G92:J92"/>
    <mergeCell ref="G94:J94"/>
    <mergeCell ref="C96:C101"/>
    <mergeCell ref="G97:J97"/>
    <mergeCell ref="C104:C110"/>
    <mergeCell ref="G109:J109"/>
    <mergeCell ref="G110:J110"/>
    <mergeCell ref="G173:J173"/>
    <mergeCell ref="G174:J174"/>
    <mergeCell ref="C152:C181"/>
    <mergeCell ref="G152:J152"/>
    <mergeCell ref="G147:J147"/>
    <mergeCell ref="G144:J144"/>
    <mergeCell ref="G138:J138"/>
    <mergeCell ref="C111:C116"/>
    <mergeCell ref="G111:J111"/>
    <mergeCell ref="G114:J114"/>
    <mergeCell ref="G123:J123"/>
    <mergeCell ref="G124:J124"/>
    <mergeCell ref="G181:J181"/>
    <mergeCell ref="G161:J161"/>
    <mergeCell ref="G141:J141"/>
    <mergeCell ref="G122:J122"/>
    <mergeCell ref="G100:J100"/>
    <mergeCell ref="G127:J127"/>
    <mergeCell ref="G158:J158"/>
    <mergeCell ref="O181:P181"/>
    <mergeCell ref="G172:J172"/>
    <mergeCell ref="G168:J168"/>
    <mergeCell ref="G169:J169"/>
    <mergeCell ref="G170:J170"/>
    <mergeCell ref="G171:J171"/>
    <mergeCell ref="G163:J163"/>
    <mergeCell ref="G164:J164"/>
    <mergeCell ref="G165:J165"/>
    <mergeCell ref="G166:J166"/>
    <mergeCell ref="G167:J167"/>
    <mergeCell ref="G180:J180"/>
    <mergeCell ref="G175:J175"/>
    <mergeCell ref="G176:J176"/>
    <mergeCell ref="G177:J177"/>
    <mergeCell ref="G178:J178"/>
    <mergeCell ref="O143:P143"/>
    <mergeCell ref="G162:J162"/>
    <mergeCell ref="G153:J153"/>
    <mergeCell ref="O153:P153"/>
    <mergeCell ref="G160:J160"/>
    <mergeCell ref="O160:P160"/>
    <mergeCell ref="G150:J150"/>
    <mergeCell ref="O150:P150"/>
    <mergeCell ref="G151:J151"/>
    <mergeCell ref="O151:P151"/>
    <mergeCell ref="O152:P152"/>
    <mergeCell ref="O145:P145"/>
    <mergeCell ref="G146:J146"/>
    <mergeCell ref="O146:P146"/>
    <mergeCell ref="O144:P144"/>
    <mergeCell ref="G145:J145"/>
    <mergeCell ref="O147:P147"/>
    <mergeCell ref="G148:J148"/>
    <mergeCell ref="O148:P148"/>
    <mergeCell ref="G149:J149"/>
    <mergeCell ref="G159:J159"/>
    <mergeCell ref="O159:P159"/>
    <mergeCell ref="O149:P149"/>
    <mergeCell ref="O134:P134"/>
    <mergeCell ref="G140:J140"/>
    <mergeCell ref="G129:J129"/>
    <mergeCell ref="O129:P129"/>
    <mergeCell ref="G130:J130"/>
    <mergeCell ref="O130:P130"/>
    <mergeCell ref="G131:J131"/>
    <mergeCell ref="O131:P131"/>
    <mergeCell ref="O138:P138"/>
    <mergeCell ref="G139:J139"/>
    <mergeCell ref="O139:P139"/>
    <mergeCell ref="O140:P140"/>
    <mergeCell ref="G135:J135"/>
    <mergeCell ref="O135:P135"/>
    <mergeCell ref="G136:J136"/>
    <mergeCell ref="O136:P136"/>
    <mergeCell ref="G137:J137"/>
    <mergeCell ref="O137:P137"/>
    <mergeCell ref="G133:J133"/>
    <mergeCell ref="O133:P133"/>
    <mergeCell ref="G134:J134"/>
    <mergeCell ref="O141:P141"/>
    <mergeCell ref="G142:J142"/>
    <mergeCell ref="O142:P142"/>
    <mergeCell ref="G143:J143"/>
    <mergeCell ref="O122:P122"/>
    <mergeCell ref="G125:J125"/>
    <mergeCell ref="O125:P125"/>
    <mergeCell ref="C126:C150"/>
    <mergeCell ref="G126:J126"/>
    <mergeCell ref="O126:P126"/>
    <mergeCell ref="G128:J128"/>
    <mergeCell ref="O128:P128"/>
    <mergeCell ref="C117:C125"/>
    <mergeCell ref="G117:J117"/>
    <mergeCell ref="O117:P117"/>
    <mergeCell ref="G118:J118"/>
    <mergeCell ref="O118:P118"/>
    <mergeCell ref="G119:J119"/>
    <mergeCell ref="O119:P119"/>
    <mergeCell ref="G120:J120"/>
    <mergeCell ref="O120:P120"/>
    <mergeCell ref="G121:J121"/>
    <mergeCell ref="G132:J132"/>
    <mergeCell ref="O132:P132"/>
    <mergeCell ref="O105:P105"/>
    <mergeCell ref="G106:J106"/>
    <mergeCell ref="O106:P106"/>
    <mergeCell ref="O113:P113"/>
    <mergeCell ref="O107:P107"/>
    <mergeCell ref="G108:J108"/>
    <mergeCell ref="O108:P108"/>
    <mergeCell ref="O121:P121"/>
    <mergeCell ref="O114:P114"/>
    <mergeCell ref="G115:J115"/>
    <mergeCell ref="O115:P115"/>
    <mergeCell ref="G116:J116"/>
    <mergeCell ref="O116:P116"/>
    <mergeCell ref="G107:J107"/>
    <mergeCell ref="O111:P111"/>
    <mergeCell ref="G112:J112"/>
    <mergeCell ref="O112:P112"/>
    <mergeCell ref="G113:J113"/>
    <mergeCell ref="G105:J105"/>
    <mergeCell ref="O93:P93"/>
    <mergeCell ref="G95:J95"/>
    <mergeCell ref="O95:P95"/>
    <mergeCell ref="G96:J96"/>
    <mergeCell ref="O96:P96"/>
    <mergeCell ref="G98:J98"/>
    <mergeCell ref="O98:P98"/>
    <mergeCell ref="G99:J99"/>
    <mergeCell ref="O99:P99"/>
    <mergeCell ref="O100:P100"/>
    <mergeCell ref="G104:J104"/>
    <mergeCell ref="O104:P104"/>
    <mergeCell ref="C72:C95"/>
    <mergeCell ref="G89:J89"/>
    <mergeCell ref="O89:P89"/>
    <mergeCell ref="G90:J90"/>
    <mergeCell ref="O90:P90"/>
    <mergeCell ref="G91:J91"/>
    <mergeCell ref="O91:P91"/>
    <mergeCell ref="G86:J86"/>
    <mergeCell ref="O86:P86"/>
    <mergeCell ref="G87:J87"/>
    <mergeCell ref="O87:P87"/>
    <mergeCell ref="G88:J88"/>
    <mergeCell ref="O88:P88"/>
    <mergeCell ref="G83:J83"/>
    <mergeCell ref="O83:P83"/>
    <mergeCell ref="G84:J84"/>
    <mergeCell ref="O84:P84"/>
    <mergeCell ref="G85:J85"/>
    <mergeCell ref="O85:P85"/>
    <mergeCell ref="G80:J80"/>
    <mergeCell ref="G81:J81"/>
    <mergeCell ref="O81:P81"/>
    <mergeCell ref="G82:J82"/>
    <mergeCell ref="O82:P82"/>
    <mergeCell ref="O75:P75"/>
    <mergeCell ref="G76:J76"/>
    <mergeCell ref="O76:P76"/>
    <mergeCell ref="G77:J77"/>
    <mergeCell ref="O77:P77"/>
    <mergeCell ref="G78:J78"/>
    <mergeCell ref="O78:P78"/>
    <mergeCell ref="O70:P70"/>
    <mergeCell ref="G71:J71"/>
    <mergeCell ref="O71:P71"/>
    <mergeCell ref="G72:J72"/>
    <mergeCell ref="O72:P72"/>
    <mergeCell ref="G74:J74"/>
    <mergeCell ref="O74:P74"/>
    <mergeCell ref="G75:J75"/>
    <mergeCell ref="O80:P80"/>
    <mergeCell ref="G73:J73"/>
    <mergeCell ref="G79:J79"/>
    <mergeCell ref="C59:C71"/>
    <mergeCell ref="G59:J59"/>
    <mergeCell ref="O59:P59"/>
    <mergeCell ref="G60:J60"/>
    <mergeCell ref="O60:P60"/>
    <mergeCell ref="G61:J61"/>
    <mergeCell ref="O61:P61"/>
    <mergeCell ref="G62:J62"/>
    <mergeCell ref="O62:P62"/>
    <mergeCell ref="G63:J63"/>
    <mergeCell ref="G67:J67"/>
    <mergeCell ref="O67:P67"/>
    <mergeCell ref="G68:J68"/>
    <mergeCell ref="O68:P68"/>
    <mergeCell ref="G69:J69"/>
    <mergeCell ref="O69:P69"/>
    <mergeCell ref="O63:P63"/>
    <mergeCell ref="G64:J64"/>
    <mergeCell ref="O64:P64"/>
    <mergeCell ref="G65:J65"/>
    <mergeCell ref="O65:P65"/>
    <mergeCell ref="G66:J66"/>
    <mergeCell ref="O66:P66"/>
    <mergeCell ref="G70:J70"/>
    <mergeCell ref="C50:C58"/>
    <mergeCell ref="G50:J50"/>
    <mergeCell ref="O50:P50"/>
    <mergeCell ref="G51:J51"/>
    <mergeCell ref="O51:P51"/>
    <mergeCell ref="G52:J52"/>
    <mergeCell ref="O52:P52"/>
    <mergeCell ref="G53:J53"/>
    <mergeCell ref="G46:J46"/>
    <mergeCell ref="O46:P46"/>
    <mergeCell ref="G47:J47"/>
    <mergeCell ref="O47:P47"/>
    <mergeCell ref="G48:J48"/>
    <mergeCell ref="O48:P48"/>
    <mergeCell ref="O53:P53"/>
    <mergeCell ref="G54:J54"/>
    <mergeCell ref="O54:P54"/>
    <mergeCell ref="G55:J55"/>
    <mergeCell ref="O55:P55"/>
    <mergeCell ref="G58:J58"/>
    <mergeCell ref="O58:P58"/>
    <mergeCell ref="G49:J49"/>
    <mergeCell ref="O49:P49"/>
    <mergeCell ref="O35:P35"/>
    <mergeCell ref="G36:J36"/>
    <mergeCell ref="O36:P36"/>
    <mergeCell ref="C37:C49"/>
    <mergeCell ref="G37:J37"/>
    <mergeCell ref="O37:P37"/>
    <mergeCell ref="G38:J38"/>
    <mergeCell ref="O38:P38"/>
    <mergeCell ref="G39:J39"/>
    <mergeCell ref="C28:C36"/>
    <mergeCell ref="G43:J43"/>
    <mergeCell ref="O43:P43"/>
    <mergeCell ref="G44:J44"/>
    <mergeCell ref="O44:P44"/>
    <mergeCell ref="G45:J45"/>
    <mergeCell ref="O45:P45"/>
    <mergeCell ref="O39:P39"/>
    <mergeCell ref="G40:J40"/>
    <mergeCell ref="O40:P40"/>
    <mergeCell ref="G42:J42"/>
    <mergeCell ref="O42:P42"/>
    <mergeCell ref="O31:P31"/>
    <mergeCell ref="G32:J32"/>
    <mergeCell ref="O32:P32"/>
    <mergeCell ref="O33:P33"/>
    <mergeCell ref="G34:J34"/>
    <mergeCell ref="O34:P34"/>
    <mergeCell ref="G27:J27"/>
    <mergeCell ref="O27:P27"/>
    <mergeCell ref="G28:J28"/>
    <mergeCell ref="O28:P28"/>
    <mergeCell ref="G29:J29"/>
    <mergeCell ref="O29:P29"/>
    <mergeCell ref="G30:J30"/>
    <mergeCell ref="O30:P30"/>
    <mergeCell ref="G31:J31"/>
    <mergeCell ref="O25:P25"/>
    <mergeCell ref="G26:J26"/>
    <mergeCell ref="O26:P26"/>
    <mergeCell ref="G21:J21"/>
    <mergeCell ref="O21:P21"/>
    <mergeCell ref="G22:J22"/>
    <mergeCell ref="O22:P22"/>
    <mergeCell ref="G23:J23"/>
    <mergeCell ref="O23:P23"/>
    <mergeCell ref="S5:T5"/>
    <mergeCell ref="U5:V5"/>
    <mergeCell ref="F8:W8"/>
    <mergeCell ref="B9:W9"/>
    <mergeCell ref="B10:W10"/>
    <mergeCell ref="G11:J11"/>
    <mergeCell ref="O11:P11"/>
    <mergeCell ref="C12:C27"/>
    <mergeCell ref="G12:J12"/>
    <mergeCell ref="O12:P12"/>
    <mergeCell ref="G13:J13"/>
    <mergeCell ref="O13:P13"/>
    <mergeCell ref="G17:J17"/>
    <mergeCell ref="O17:P17"/>
    <mergeCell ref="G19:J19"/>
    <mergeCell ref="O19:P19"/>
    <mergeCell ref="G20:J20"/>
    <mergeCell ref="O20:P20"/>
    <mergeCell ref="G15:J15"/>
    <mergeCell ref="O15:P15"/>
    <mergeCell ref="G16:J16"/>
    <mergeCell ref="O16:P16"/>
    <mergeCell ref="G24:J24"/>
    <mergeCell ref="O24:P24"/>
    <mergeCell ref="O127:P127"/>
    <mergeCell ref="G41:J41"/>
    <mergeCell ref="G179:J179"/>
    <mergeCell ref="G103:J103"/>
    <mergeCell ref="B1:T1"/>
    <mergeCell ref="B2:E8"/>
    <mergeCell ref="F2:I2"/>
    <mergeCell ref="L2:O2"/>
    <mergeCell ref="F3:O3"/>
    <mergeCell ref="Q3:W3"/>
    <mergeCell ref="F4:I4"/>
    <mergeCell ref="L4:O4"/>
    <mergeCell ref="Q6:R6"/>
    <mergeCell ref="S6:T6"/>
    <mergeCell ref="U6:V6"/>
    <mergeCell ref="G7:I7"/>
    <mergeCell ref="M7:O7"/>
    <mergeCell ref="Q7:R7"/>
    <mergeCell ref="S7:T7"/>
    <mergeCell ref="U7:V7"/>
    <mergeCell ref="Q4:W4"/>
    <mergeCell ref="G5:I5"/>
    <mergeCell ref="M5:O5"/>
    <mergeCell ref="Q5:R5"/>
  </mergeCells>
  <conditionalFormatting sqref="D12:F14 D15:E15 D111:E111 D112:F126 M126:T126 D104:F110 U104:W126 D103:W103 D179:F179 D180:G181 L67:T102 L26:U39 M128:T128 D42:K55 U42:W102 L42:T60 G128:J153 G12:K13 L104:T125 G104:K126 M40:U40 G14 K14 V12:W40 G15:K17 L12:T22 U12:U24 D102:G102 K102 U165:W171 Q165:T168 D58:K72 D56:G57 K56:K57 D128 F128 U128:W160 L129:T160 G154:G158 D129:F164 K128:K160 G19:K40 K18 D74:K78 K73 D80:K91 K79 D16:F40 D73:F73 D79:F79 D93:K93 K92 D95:K101 K94 D92:F92 D94:F94 D165:G178 K165:K181">
    <cfRule type="expression" dxfId="81" priority="27">
      <formula>$D12=0</formula>
    </cfRule>
  </conditionalFormatting>
  <conditionalFormatting sqref="G159:G164">
    <cfRule type="expression" dxfId="80" priority="26">
      <formula>$D159=0</formula>
    </cfRule>
  </conditionalFormatting>
  <conditionalFormatting sqref="K161:W161 L163:W164">
    <cfRule type="expression" dxfId="79" priority="50">
      <formula>#REF!=0</formula>
    </cfRule>
  </conditionalFormatting>
  <conditionalFormatting sqref="L62:R66">
    <cfRule type="expression" dxfId="78" priority="42">
      <formula>$D62=0</formula>
    </cfRule>
  </conditionalFormatting>
  <conditionalFormatting sqref="L174:T174 L180:T180 M175:T179">
    <cfRule type="expression" dxfId="77" priority="44">
      <formula>$D174=0</formula>
    </cfRule>
  </conditionalFormatting>
  <conditionalFormatting sqref="L173:W173">
    <cfRule type="expression" dxfId="76" priority="51">
      <formula>$D164=0</formula>
    </cfRule>
  </conditionalFormatting>
  <conditionalFormatting sqref="M23:T24">
    <cfRule type="expression" dxfId="75" priority="46">
      <formula>$D23=0</formula>
    </cfRule>
  </conditionalFormatting>
  <conditionalFormatting sqref="L23:L25 M25:U25 L61:Q61 R61:T62 S63:T66 L181:W181">
    <cfRule type="expression" dxfId="74" priority="47">
      <formula>$D23=0</formula>
    </cfRule>
  </conditionalFormatting>
  <conditionalFormatting sqref="L162:W162 L165:O165 L166:P168 L169:T171 U180:U181 V180:W180 U174:W179">
    <cfRule type="expression" dxfId="73" priority="37">
      <formula>$D162=0</formula>
    </cfRule>
  </conditionalFormatting>
  <conditionalFormatting sqref="F15">
    <cfRule type="expression" dxfId="72" priority="25">
      <formula>$D15=0</formula>
    </cfRule>
  </conditionalFormatting>
  <conditionalFormatting sqref="F111">
    <cfRule type="expression" dxfId="71" priority="24">
      <formula>$D111=0</formula>
    </cfRule>
  </conditionalFormatting>
  <conditionalFormatting sqref="L128">
    <cfRule type="expression" dxfId="70" priority="767">
      <formula>$D126=0</formula>
    </cfRule>
  </conditionalFormatting>
  <conditionalFormatting sqref="K162">
    <cfRule type="expression" dxfId="69" priority="23">
      <formula>$D162=0</formula>
    </cfRule>
  </conditionalFormatting>
  <conditionalFormatting sqref="K163">
    <cfRule type="expression" dxfId="68" priority="22">
      <formula>$D163=0</formula>
    </cfRule>
  </conditionalFormatting>
  <conditionalFormatting sqref="K164">
    <cfRule type="expression" dxfId="67" priority="21">
      <formula>$D164=0</formula>
    </cfRule>
  </conditionalFormatting>
  <conditionalFormatting sqref="G179">
    <cfRule type="expression" dxfId="66" priority="16">
      <formula>$D179=0</formula>
    </cfRule>
  </conditionalFormatting>
  <conditionalFormatting sqref="M127:W127 D127:K127">
    <cfRule type="expression" dxfId="65" priority="15">
      <formula>$D127=0</formula>
    </cfRule>
  </conditionalFormatting>
  <conditionalFormatting sqref="U41:W41 D41:G41">
    <cfRule type="expression" dxfId="64" priority="13">
      <formula>$D41=0</formula>
    </cfRule>
  </conditionalFormatting>
  <conditionalFormatting sqref="L41:T41">
    <cfRule type="expression" dxfId="63" priority="14">
      <formula>$D41=0</formula>
    </cfRule>
  </conditionalFormatting>
  <conditionalFormatting sqref="U172:W172">
    <cfRule type="expression" dxfId="62" priority="11">
      <formula>$D172=0</formula>
    </cfRule>
  </conditionalFormatting>
  <conditionalFormatting sqref="L172:T172">
    <cfRule type="expression" dxfId="61" priority="12">
      <formula>$D172=0</formula>
    </cfRule>
  </conditionalFormatting>
  <conditionalFormatting sqref="L179">
    <cfRule type="expression" dxfId="60" priority="10">
      <formula>$D179=0</formula>
    </cfRule>
  </conditionalFormatting>
  <conditionalFormatting sqref="L175:L178">
    <cfRule type="expression" dxfId="59" priority="770">
      <formula>#REF!=0</formula>
    </cfRule>
  </conditionalFormatting>
  <conditionalFormatting sqref="L40">
    <cfRule type="expression" dxfId="58" priority="9">
      <formula>$D40=0</formula>
    </cfRule>
  </conditionalFormatting>
  <conditionalFormatting sqref="K41">
    <cfRule type="expression" dxfId="57" priority="8">
      <formula>$D41=0</formula>
    </cfRule>
  </conditionalFormatting>
  <conditionalFormatting sqref="E128">
    <cfRule type="expression" dxfId="56" priority="7">
      <formula>$D128=0</formula>
    </cfRule>
  </conditionalFormatting>
  <conditionalFormatting sqref="G73:J73">
    <cfRule type="expression" dxfId="55" priority="5">
      <formula>$D73=0</formula>
    </cfRule>
  </conditionalFormatting>
  <conditionalFormatting sqref="G79:J79">
    <cfRule type="expression" dxfId="54" priority="4">
      <formula>$D79=0</formula>
    </cfRule>
  </conditionalFormatting>
  <conditionalFormatting sqref="G18:J18">
    <cfRule type="expression" dxfId="53" priority="3">
      <formula>$D18=0</formula>
    </cfRule>
  </conditionalFormatting>
  <conditionalFormatting sqref="G92:J92">
    <cfRule type="expression" dxfId="52" priority="2">
      <formula>$D92=0</formula>
    </cfRule>
  </conditionalFormatting>
  <conditionalFormatting sqref="G94:J94">
    <cfRule type="expression" dxfId="51" priority="1">
      <formula>$D94=0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Dropdown!$C$3:$C$43</xm:f>
          </x14:formula1>
          <xm:sqref>L179 K12 K72:K126 K15:K70 K128:K181</xm:sqref>
        </x14:dataValidation>
        <x14:dataValidation type="list" allowBlank="1" showInputMessage="1" showErrorMessage="1" xr:uid="{00000000-0002-0000-0000-000001000000}">
          <x14:formula1>
            <xm:f>'C:\Users\PDG9-\Downloads\[D-0807213_A - Check-list controle de equipamentos offshore 07-10-2025.xlsx]Dropdown'!#REF!</xm:f>
          </x14:formula1>
          <xm:sqref>K127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Z54"/>
  <sheetViews>
    <sheetView showGridLines="0" zoomScale="85" zoomScaleNormal="85" workbookViewId="0">
      <selection activeCell="F5" sqref="F5"/>
    </sheetView>
  </sheetViews>
  <sheetFormatPr defaultColWidth="0" defaultRowHeight="0" customHeight="1" zeroHeight="1"/>
  <cols>
    <col min="1" max="1" width="0.7109375" style="63" customWidth="1"/>
    <col min="2" max="2" width="8.7109375" style="67" customWidth="1"/>
    <col min="3" max="4" width="13.7109375" style="67" customWidth="1"/>
    <col min="5" max="5" width="0.7109375" style="67" customWidth="1"/>
    <col min="6" max="10" width="13.7109375" style="67" customWidth="1"/>
    <col min="11" max="11" width="17.5703125" style="67" customWidth="1"/>
    <col min="12" max="12" width="6.7109375" style="67" customWidth="1"/>
    <col min="13" max="13" width="0.7109375" style="67" customWidth="1"/>
    <col min="14" max="17" width="13.7109375" style="67" customWidth="1"/>
    <col min="18" max="19" width="13.7109375" style="63" customWidth="1"/>
    <col min="20" max="20" width="26.7109375" style="63" customWidth="1"/>
    <col min="21" max="21" width="0.7109375" style="63" customWidth="1"/>
    <col min="22" max="26" width="0" style="63" hidden="1" customWidth="1"/>
    <col min="27" max="16384" width="9.28515625" style="63" hidden="1"/>
  </cols>
  <sheetData>
    <row r="1" spans="2:20" ht="5.0999999999999996" customHeight="1" thickBot="1"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</row>
    <row r="2" spans="2:20" ht="5.0999999999999996" customHeight="1" thickBot="1">
      <c r="B2" s="297"/>
      <c r="C2" s="298"/>
      <c r="D2" s="298"/>
      <c r="E2" s="72"/>
      <c r="F2" s="64"/>
      <c r="G2" s="64"/>
      <c r="H2" s="64"/>
      <c r="I2" s="64"/>
      <c r="J2" s="64"/>
      <c r="K2" s="64"/>
      <c r="L2" s="64"/>
      <c r="M2" s="72"/>
      <c r="N2" s="65"/>
      <c r="O2" s="65"/>
      <c r="P2" s="65"/>
      <c r="Q2" s="65"/>
      <c r="R2" s="65"/>
      <c r="S2" s="65"/>
      <c r="T2" s="66"/>
    </row>
    <row r="3" spans="2:20" ht="30" customHeight="1" thickBot="1">
      <c r="B3" s="37"/>
      <c r="C3" s="38"/>
      <c r="D3" s="39"/>
      <c r="E3" s="3"/>
      <c r="F3" s="195" t="e">
        <f>#REF!</f>
        <v>#REF!</v>
      </c>
      <c r="G3" s="195"/>
      <c r="H3" s="195"/>
      <c r="I3" s="195"/>
      <c r="J3" s="195"/>
      <c r="K3" s="195"/>
      <c r="L3" s="195"/>
      <c r="M3" s="3"/>
      <c r="N3" s="194" t="e">
        <f>#REF!</f>
        <v>#REF!</v>
      </c>
      <c r="O3" s="195"/>
      <c r="P3" s="195"/>
      <c r="Q3" s="195"/>
      <c r="R3" s="195"/>
      <c r="S3" s="195"/>
      <c r="T3" s="196"/>
    </row>
    <row r="4" spans="2:20" ht="5.0999999999999996" customHeight="1" thickBot="1">
      <c r="B4" s="37"/>
      <c r="C4" s="38"/>
      <c r="D4" s="39"/>
      <c r="E4" s="3"/>
      <c r="F4" s="18"/>
      <c r="G4" s="18"/>
      <c r="H4" s="18"/>
      <c r="I4" s="18"/>
      <c r="J4" s="18"/>
      <c r="K4" s="18"/>
      <c r="L4" s="18"/>
      <c r="M4" s="3"/>
      <c r="N4" s="207"/>
      <c r="O4" s="208"/>
      <c r="P4" s="208"/>
      <c r="Q4" s="208"/>
      <c r="R4" s="208"/>
      <c r="S4" s="208"/>
      <c r="T4" s="209"/>
    </row>
    <row r="5" spans="2:20" ht="20.100000000000001" customHeight="1" thickBot="1">
      <c r="B5" s="37"/>
      <c r="C5" s="38"/>
      <c r="D5" s="39"/>
      <c r="E5" s="35"/>
      <c r="F5" s="34" t="e">
        <f>#REF!</f>
        <v>#REF!</v>
      </c>
      <c r="G5" s="268" t="e">
        <f>#REF!</f>
        <v>#REF!</v>
      </c>
      <c r="H5" s="269"/>
      <c r="I5" s="18"/>
      <c r="J5" s="2" t="e">
        <f>#REF!</f>
        <v>#REF!</v>
      </c>
      <c r="K5" s="268" t="e">
        <f>#REF!</f>
        <v>#REF!</v>
      </c>
      <c r="L5" s="269"/>
      <c r="M5" s="3"/>
      <c r="N5" s="270" t="e">
        <f>#REF!</f>
        <v>#REF!</v>
      </c>
      <c r="O5" s="271"/>
      <c r="P5" s="272" t="e">
        <f>#REF!</f>
        <v>#REF!</v>
      </c>
      <c r="Q5" s="272"/>
      <c r="R5" s="270" t="e">
        <f>#REF!</f>
        <v>#REF!</v>
      </c>
      <c r="S5" s="271"/>
      <c r="T5" s="22" t="e">
        <f>#REF!</f>
        <v>#REF!</v>
      </c>
    </row>
    <row r="6" spans="2:20" ht="20.100000000000001" customHeight="1" thickBot="1">
      <c r="B6" s="37"/>
      <c r="C6" s="38"/>
      <c r="D6" s="39"/>
      <c r="E6" s="3"/>
      <c r="F6" s="17"/>
      <c r="G6" s="17" t="s">
        <v>313</v>
      </c>
      <c r="H6" s="17"/>
      <c r="I6" s="18"/>
      <c r="J6" s="17"/>
      <c r="K6" s="17"/>
      <c r="L6" s="17"/>
      <c r="M6" s="4"/>
      <c r="N6" s="273" t="e">
        <f>#REF!</f>
        <v>#REF!</v>
      </c>
      <c r="O6" s="274"/>
      <c r="P6" s="275" t="e">
        <f>#REF!</f>
        <v>#REF!</v>
      </c>
      <c r="Q6" s="275"/>
      <c r="R6" s="273" t="e">
        <f>#REF!</f>
        <v>#REF!</v>
      </c>
      <c r="S6" s="274"/>
      <c r="T6" s="23" t="e">
        <f>#REF!</f>
        <v>#REF!</v>
      </c>
    </row>
    <row r="7" spans="2:20" ht="20.100000000000001" customHeight="1" thickBot="1">
      <c r="B7" s="40"/>
      <c r="C7" s="41"/>
      <c r="D7" s="42"/>
      <c r="E7" s="35"/>
      <c r="F7" s="34" t="e">
        <f>#REF!</f>
        <v>#REF!</v>
      </c>
      <c r="G7" s="276" t="e">
        <f>#REF!</f>
        <v>#REF!</v>
      </c>
      <c r="H7" s="277"/>
      <c r="I7" s="18"/>
      <c r="J7" s="2" t="e">
        <f>#REF!</f>
        <v>#REF!</v>
      </c>
      <c r="K7" s="268" t="e">
        <f>#REF!</f>
        <v>#REF!</v>
      </c>
      <c r="L7" s="269"/>
      <c r="M7" s="4"/>
      <c r="N7" s="273" t="e">
        <f>#REF!</f>
        <v>#REF!</v>
      </c>
      <c r="O7" s="274"/>
      <c r="P7" s="278" t="e">
        <f>#REF!</f>
        <v>#REF!</v>
      </c>
      <c r="Q7" s="278"/>
      <c r="R7" s="273" t="e">
        <f>#REF!</f>
        <v>#REF!</v>
      </c>
      <c r="S7" s="274"/>
      <c r="T7" s="24" t="e">
        <f>#REF!</f>
        <v>#REF!</v>
      </c>
    </row>
    <row r="8" spans="2:20" ht="5.0999999999999996" customHeight="1" thickBot="1">
      <c r="B8" s="43"/>
      <c r="C8" s="44"/>
      <c r="D8" s="44"/>
      <c r="E8" s="7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214"/>
    </row>
    <row r="9" spans="2:20" s="68" customFormat="1" ht="25.15" customHeight="1" thickBot="1">
      <c r="B9" s="194" t="s">
        <v>17</v>
      </c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6"/>
    </row>
    <row r="10" spans="2:20" ht="5.0999999999999996" customHeight="1" thickBot="1">
      <c r="B10" s="191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</row>
    <row r="11" spans="2:20" ht="30" customHeight="1" thickBot="1">
      <c r="B11" s="71" t="s">
        <v>18</v>
      </c>
      <c r="C11" s="59" t="s">
        <v>314</v>
      </c>
      <c r="D11" s="59" t="s">
        <v>21</v>
      </c>
      <c r="E11" s="282" t="s">
        <v>22</v>
      </c>
      <c r="F11" s="283"/>
      <c r="G11" s="282" t="s">
        <v>315</v>
      </c>
      <c r="H11" s="284"/>
      <c r="I11" s="284"/>
      <c r="J11" s="284"/>
      <c r="K11" s="283"/>
      <c r="L11" s="282" t="s">
        <v>316</v>
      </c>
      <c r="M11" s="284"/>
      <c r="N11" s="284"/>
      <c r="O11" s="283"/>
      <c r="P11" s="282" t="s">
        <v>317</v>
      </c>
      <c r="Q11" s="283"/>
      <c r="R11" s="282" t="s">
        <v>318</v>
      </c>
      <c r="S11" s="284"/>
      <c r="T11" s="283"/>
    </row>
    <row r="12" spans="2:20" ht="25.15" customHeight="1">
      <c r="B12" s="51">
        <v>1</v>
      </c>
      <c r="C12" s="54">
        <v>1</v>
      </c>
      <c r="D12" s="53" t="s">
        <v>40</v>
      </c>
      <c r="E12" s="256" t="s">
        <v>40</v>
      </c>
      <c r="F12" s="257"/>
      <c r="G12" s="258" t="s">
        <v>319</v>
      </c>
      <c r="H12" s="259"/>
      <c r="I12" s="259"/>
      <c r="J12" s="259"/>
      <c r="K12" s="260"/>
      <c r="L12" s="261" t="s">
        <v>40</v>
      </c>
      <c r="M12" s="262"/>
      <c r="N12" s="262"/>
      <c r="O12" s="263"/>
      <c r="P12" s="261" t="s">
        <v>320</v>
      </c>
      <c r="Q12" s="263"/>
      <c r="R12" s="264" t="s">
        <v>321</v>
      </c>
      <c r="S12" s="265"/>
      <c r="T12" s="266"/>
    </row>
    <row r="13" spans="2:20" ht="25.15" customHeight="1">
      <c r="B13" s="52">
        <v>2</v>
      </c>
      <c r="C13" s="54">
        <v>0</v>
      </c>
      <c r="D13" s="53" t="s">
        <v>40</v>
      </c>
      <c r="E13" s="256" t="s">
        <v>40</v>
      </c>
      <c r="F13" s="257"/>
      <c r="G13" s="258" t="s">
        <v>322</v>
      </c>
      <c r="H13" s="259"/>
      <c r="I13" s="259"/>
      <c r="J13" s="259"/>
      <c r="K13" s="260"/>
      <c r="L13" s="261" t="s">
        <v>40</v>
      </c>
      <c r="M13" s="262"/>
      <c r="N13" s="262"/>
      <c r="O13" s="263"/>
      <c r="P13" s="261" t="s">
        <v>40</v>
      </c>
      <c r="Q13" s="263"/>
      <c r="R13" s="264" t="s">
        <v>40</v>
      </c>
      <c r="S13" s="265"/>
      <c r="T13" s="266"/>
    </row>
    <row r="14" spans="2:20" ht="25.15" customHeight="1">
      <c r="B14" s="52">
        <v>3</v>
      </c>
      <c r="C14" s="54">
        <v>0</v>
      </c>
      <c r="D14" s="53" t="s">
        <v>40</v>
      </c>
      <c r="E14" s="256" t="s">
        <v>40</v>
      </c>
      <c r="F14" s="257"/>
      <c r="G14" s="258" t="s">
        <v>323</v>
      </c>
      <c r="H14" s="259"/>
      <c r="I14" s="259"/>
      <c r="J14" s="259"/>
      <c r="K14" s="260"/>
      <c r="L14" s="261" t="s">
        <v>40</v>
      </c>
      <c r="M14" s="262"/>
      <c r="N14" s="262"/>
      <c r="O14" s="263"/>
      <c r="P14" s="261" t="s">
        <v>40</v>
      </c>
      <c r="Q14" s="263"/>
      <c r="R14" s="264" t="s">
        <v>40</v>
      </c>
      <c r="S14" s="265"/>
      <c r="T14" s="266"/>
    </row>
    <row r="15" spans="2:20" ht="25.15" customHeight="1">
      <c r="B15" s="52">
        <v>4</v>
      </c>
      <c r="C15" s="54">
        <v>0</v>
      </c>
      <c r="D15" s="53" t="s">
        <v>40</v>
      </c>
      <c r="E15" s="256" t="s">
        <v>40</v>
      </c>
      <c r="F15" s="257"/>
      <c r="G15" s="258" t="s">
        <v>324</v>
      </c>
      <c r="H15" s="259"/>
      <c r="I15" s="259"/>
      <c r="J15" s="259"/>
      <c r="K15" s="260"/>
      <c r="L15" s="261" t="s">
        <v>40</v>
      </c>
      <c r="M15" s="262"/>
      <c r="N15" s="262"/>
      <c r="O15" s="263"/>
      <c r="P15" s="261" t="s">
        <v>40</v>
      </c>
      <c r="Q15" s="263"/>
      <c r="R15" s="264" t="s">
        <v>40</v>
      </c>
      <c r="S15" s="265"/>
      <c r="T15" s="266"/>
    </row>
    <row r="16" spans="2:20" ht="25.15" customHeight="1">
      <c r="B16" s="52">
        <v>5</v>
      </c>
      <c r="C16" s="54">
        <v>0</v>
      </c>
      <c r="D16" s="53" t="s">
        <v>40</v>
      </c>
      <c r="E16" s="256" t="s">
        <v>40</v>
      </c>
      <c r="F16" s="257"/>
      <c r="G16" s="258" t="s">
        <v>325</v>
      </c>
      <c r="H16" s="259"/>
      <c r="I16" s="259"/>
      <c r="J16" s="259"/>
      <c r="K16" s="260"/>
      <c r="L16" s="261" t="s">
        <v>40</v>
      </c>
      <c r="M16" s="262"/>
      <c r="N16" s="262"/>
      <c r="O16" s="263"/>
      <c r="P16" s="261" t="s">
        <v>40</v>
      </c>
      <c r="Q16" s="263"/>
      <c r="R16" s="264" t="s">
        <v>40</v>
      </c>
      <c r="S16" s="265"/>
      <c r="T16" s="266"/>
    </row>
    <row r="17" spans="2:21" ht="25.15" customHeight="1">
      <c r="B17" s="52">
        <v>6</v>
      </c>
      <c r="C17" s="54">
        <v>0</v>
      </c>
      <c r="D17" s="53" t="s">
        <v>40</v>
      </c>
      <c r="E17" s="256" t="s">
        <v>40</v>
      </c>
      <c r="F17" s="257"/>
      <c r="G17" s="258" t="s">
        <v>326</v>
      </c>
      <c r="H17" s="259"/>
      <c r="I17" s="259"/>
      <c r="J17" s="259"/>
      <c r="K17" s="260"/>
      <c r="L17" s="261" t="s">
        <v>40</v>
      </c>
      <c r="M17" s="262"/>
      <c r="N17" s="262"/>
      <c r="O17" s="263"/>
      <c r="P17" s="261" t="s">
        <v>40</v>
      </c>
      <c r="Q17" s="263"/>
      <c r="R17" s="264" t="s">
        <v>40</v>
      </c>
      <c r="S17" s="265"/>
      <c r="T17" s="266"/>
    </row>
    <row r="18" spans="2:21" ht="60" customHeight="1">
      <c r="B18" s="52">
        <v>7</v>
      </c>
      <c r="C18" s="54">
        <v>1</v>
      </c>
      <c r="D18" s="53" t="s">
        <v>40</v>
      </c>
      <c r="E18" s="256" t="s">
        <v>327</v>
      </c>
      <c r="F18" s="257"/>
      <c r="G18" s="258" t="s">
        <v>328</v>
      </c>
      <c r="H18" s="259"/>
      <c r="I18" s="259"/>
      <c r="J18" s="259"/>
      <c r="K18" s="260"/>
      <c r="L18" s="261" t="s">
        <v>329</v>
      </c>
      <c r="M18" s="262"/>
      <c r="N18" s="262"/>
      <c r="O18" s="263"/>
      <c r="P18" s="261" t="s">
        <v>320</v>
      </c>
      <c r="Q18" s="263"/>
      <c r="R18" s="264" t="s">
        <v>330</v>
      </c>
      <c r="S18" s="265"/>
      <c r="T18" s="266"/>
    </row>
    <row r="19" spans="2:21" ht="25.15" customHeight="1">
      <c r="B19" s="52">
        <v>8</v>
      </c>
      <c r="C19" s="54">
        <v>1</v>
      </c>
      <c r="D19" s="53" t="s">
        <v>40</v>
      </c>
      <c r="E19" s="256" t="s">
        <v>40</v>
      </c>
      <c r="F19" s="257"/>
      <c r="G19" s="258" t="s">
        <v>331</v>
      </c>
      <c r="H19" s="259"/>
      <c r="I19" s="259"/>
      <c r="J19" s="259"/>
      <c r="K19" s="260"/>
      <c r="L19" s="261" t="s">
        <v>332</v>
      </c>
      <c r="M19" s="262"/>
      <c r="N19" s="262"/>
      <c r="O19" s="263"/>
      <c r="P19" s="261" t="s">
        <v>333</v>
      </c>
      <c r="Q19" s="263"/>
      <c r="R19" s="264" t="s">
        <v>334</v>
      </c>
      <c r="S19" s="265"/>
      <c r="T19" s="266"/>
      <c r="U19" s="63" t="s">
        <v>335</v>
      </c>
    </row>
    <row r="20" spans="2:21" ht="25.15" customHeight="1">
      <c r="B20" s="52"/>
      <c r="C20" s="54">
        <v>0</v>
      </c>
      <c r="D20" s="53" t="s">
        <v>40</v>
      </c>
      <c r="E20" s="256" t="s">
        <v>40</v>
      </c>
      <c r="F20" s="257"/>
      <c r="G20" s="258" t="s">
        <v>336</v>
      </c>
      <c r="H20" s="259"/>
      <c r="I20" s="259"/>
      <c r="J20" s="259"/>
      <c r="K20" s="260"/>
      <c r="L20" s="261" t="s">
        <v>40</v>
      </c>
      <c r="M20" s="262"/>
      <c r="N20" s="262"/>
      <c r="O20" s="263"/>
      <c r="P20" s="261" t="s">
        <v>40</v>
      </c>
      <c r="Q20" s="263"/>
      <c r="R20" s="264" t="s">
        <v>40</v>
      </c>
      <c r="S20" s="265"/>
      <c r="T20" s="266"/>
    </row>
    <row r="21" spans="2:21" ht="25.15" customHeight="1">
      <c r="B21" s="52"/>
      <c r="C21" s="54">
        <v>0</v>
      </c>
      <c r="D21" s="53" t="s">
        <v>40</v>
      </c>
      <c r="E21" s="256" t="s">
        <v>40</v>
      </c>
      <c r="F21" s="257"/>
      <c r="G21" s="258" t="s">
        <v>337</v>
      </c>
      <c r="H21" s="259"/>
      <c r="I21" s="259"/>
      <c r="J21" s="259"/>
      <c r="K21" s="260"/>
      <c r="L21" s="261" t="s">
        <v>40</v>
      </c>
      <c r="M21" s="262"/>
      <c r="N21" s="262"/>
      <c r="O21" s="263"/>
      <c r="P21" s="261" t="s">
        <v>40</v>
      </c>
      <c r="Q21" s="263"/>
      <c r="R21" s="264" t="s">
        <v>40</v>
      </c>
      <c r="S21" s="265"/>
      <c r="T21" s="266"/>
    </row>
    <row r="22" spans="2:21" ht="25.15" customHeight="1">
      <c r="B22" s="52"/>
      <c r="C22" s="54">
        <v>1</v>
      </c>
      <c r="D22" s="53" t="s">
        <v>40</v>
      </c>
      <c r="E22" s="256" t="s">
        <v>40</v>
      </c>
      <c r="F22" s="257"/>
      <c r="G22" s="258" t="s">
        <v>338</v>
      </c>
      <c r="H22" s="259"/>
      <c r="I22" s="259"/>
      <c r="J22" s="259"/>
      <c r="K22" s="260"/>
      <c r="L22" s="261" t="s">
        <v>40</v>
      </c>
      <c r="M22" s="262"/>
      <c r="N22" s="262"/>
      <c r="O22" s="263"/>
      <c r="P22" s="261" t="s">
        <v>320</v>
      </c>
      <c r="Q22" s="263"/>
      <c r="R22" s="264" t="s">
        <v>339</v>
      </c>
      <c r="S22" s="265"/>
      <c r="T22" s="266"/>
    </row>
    <row r="23" spans="2:21" ht="25.15" customHeight="1">
      <c r="B23" s="52"/>
      <c r="C23" s="54">
        <v>0</v>
      </c>
      <c r="D23" s="53" t="s">
        <v>40</v>
      </c>
      <c r="E23" s="256" t="s">
        <v>40</v>
      </c>
      <c r="F23" s="257"/>
      <c r="G23" s="258" t="s">
        <v>40</v>
      </c>
      <c r="H23" s="259"/>
      <c r="I23" s="259"/>
      <c r="J23" s="259"/>
      <c r="K23" s="260"/>
      <c r="L23" s="261" t="s">
        <v>40</v>
      </c>
      <c r="M23" s="262"/>
      <c r="N23" s="262"/>
      <c r="O23" s="263"/>
      <c r="P23" s="261" t="s">
        <v>40</v>
      </c>
      <c r="Q23" s="263"/>
      <c r="R23" s="264" t="s">
        <v>40</v>
      </c>
      <c r="S23" s="265"/>
      <c r="T23" s="266"/>
    </row>
    <row r="24" spans="2:21" ht="25.15" customHeight="1">
      <c r="B24" s="52">
        <f t="shared" ref="B24:B52" si="0">IF(G24="","",B23+1)</f>
        <v>1</v>
      </c>
      <c r="C24" s="54">
        <v>0</v>
      </c>
      <c r="D24" s="53" t="s">
        <v>40</v>
      </c>
      <c r="E24" s="256" t="s">
        <v>40</v>
      </c>
      <c r="F24" s="257"/>
      <c r="G24" s="305" t="s">
        <v>340</v>
      </c>
      <c r="H24" s="306"/>
      <c r="I24" s="306"/>
      <c r="J24" s="306"/>
      <c r="K24" s="307"/>
      <c r="L24" s="261" t="s">
        <v>40</v>
      </c>
      <c r="M24" s="262"/>
      <c r="N24" s="262"/>
      <c r="O24" s="263"/>
      <c r="P24" s="261" t="s">
        <v>40</v>
      </c>
      <c r="Q24" s="263"/>
      <c r="R24" s="264" t="s">
        <v>40</v>
      </c>
      <c r="S24" s="265"/>
      <c r="T24" s="266"/>
    </row>
    <row r="25" spans="2:21" ht="25.15" customHeight="1">
      <c r="B25" s="52">
        <f t="shared" si="0"/>
        <v>2</v>
      </c>
      <c r="C25" s="54">
        <v>1</v>
      </c>
      <c r="D25" s="53" t="s">
        <v>40</v>
      </c>
      <c r="E25" s="256" t="s">
        <v>40</v>
      </c>
      <c r="F25" s="257" t="s">
        <v>40</v>
      </c>
      <c r="G25" s="302" t="s">
        <v>341</v>
      </c>
      <c r="H25" s="303"/>
      <c r="I25" s="303"/>
      <c r="J25" s="303"/>
      <c r="K25" s="304"/>
      <c r="L25" s="261" t="s">
        <v>40</v>
      </c>
      <c r="M25" s="262"/>
      <c r="N25" s="262"/>
      <c r="O25" s="263"/>
      <c r="P25" s="261" t="s">
        <v>320</v>
      </c>
      <c r="Q25" s="263"/>
      <c r="R25" s="264" t="s">
        <v>342</v>
      </c>
      <c r="S25" s="265"/>
      <c r="T25" s="266"/>
    </row>
    <row r="26" spans="2:21" ht="25.15" customHeight="1">
      <c r="B26" s="52">
        <f t="shared" si="0"/>
        <v>3</v>
      </c>
      <c r="C26" s="54">
        <v>1</v>
      </c>
      <c r="D26" s="53" t="s">
        <v>40</v>
      </c>
      <c r="E26" s="256" t="s">
        <v>40</v>
      </c>
      <c r="F26" s="257" t="s">
        <v>40</v>
      </c>
      <c r="G26" s="302" t="s">
        <v>343</v>
      </c>
      <c r="H26" s="303"/>
      <c r="I26" s="303"/>
      <c r="J26" s="303"/>
      <c r="K26" s="304"/>
      <c r="L26" s="261" t="s">
        <v>40</v>
      </c>
      <c r="M26" s="262"/>
      <c r="N26" s="262"/>
      <c r="O26" s="263"/>
      <c r="P26" s="261" t="s">
        <v>320</v>
      </c>
      <c r="Q26" s="263"/>
      <c r="R26" s="288" t="s">
        <v>344</v>
      </c>
      <c r="S26" s="289"/>
      <c r="T26" s="290"/>
    </row>
    <row r="27" spans="2:21" ht="25.15" customHeight="1">
      <c r="B27" s="52" t="e">
        <f>IF(#REF!="","",B26+1)</f>
        <v>#REF!</v>
      </c>
      <c r="C27" s="54">
        <v>1</v>
      </c>
      <c r="D27" s="53" t="s">
        <v>40</v>
      </c>
      <c r="E27" s="256" t="s">
        <v>40</v>
      </c>
      <c r="F27" s="257" t="s">
        <v>40</v>
      </c>
      <c r="G27" s="302" t="s">
        <v>345</v>
      </c>
      <c r="H27" s="303"/>
      <c r="I27" s="303"/>
      <c r="J27" s="303"/>
      <c r="K27" s="304"/>
      <c r="L27" s="261" t="s">
        <v>40</v>
      </c>
      <c r="M27" s="262"/>
      <c r="N27" s="262"/>
      <c r="O27" s="263"/>
      <c r="P27" s="261" t="s">
        <v>320</v>
      </c>
      <c r="Q27" s="263"/>
      <c r="R27" s="288" t="s">
        <v>346</v>
      </c>
      <c r="S27" s="289"/>
      <c r="T27" s="290"/>
    </row>
    <row r="28" spans="2:21" ht="25.15" customHeight="1">
      <c r="B28" s="69" t="e">
        <f t="shared" si="0"/>
        <v>#REF!</v>
      </c>
      <c r="C28" s="54">
        <v>1</v>
      </c>
      <c r="D28" s="53" t="s">
        <v>40</v>
      </c>
      <c r="E28" s="256" t="s">
        <v>40</v>
      </c>
      <c r="F28" s="257" t="s">
        <v>40</v>
      </c>
      <c r="G28" s="302" t="s">
        <v>347</v>
      </c>
      <c r="H28" s="303"/>
      <c r="I28" s="303"/>
      <c r="J28" s="303"/>
      <c r="K28" s="304"/>
      <c r="L28" s="261" t="s">
        <v>40</v>
      </c>
      <c r="M28" s="262"/>
      <c r="N28" s="262"/>
      <c r="O28" s="263"/>
      <c r="P28" s="261" t="s">
        <v>320</v>
      </c>
      <c r="Q28" s="263"/>
      <c r="R28" s="288" t="s">
        <v>348</v>
      </c>
      <c r="S28" s="289"/>
      <c r="T28" s="290"/>
    </row>
    <row r="29" spans="2:21" ht="25.15" customHeight="1">
      <c r="B29" s="69" t="e">
        <f t="shared" si="0"/>
        <v>#REF!</v>
      </c>
      <c r="C29" s="54">
        <v>0</v>
      </c>
      <c r="D29" s="53" t="s">
        <v>40</v>
      </c>
      <c r="E29" s="256" t="s">
        <v>40</v>
      </c>
      <c r="F29" s="257"/>
      <c r="G29" s="302" t="s">
        <v>349</v>
      </c>
      <c r="H29" s="303"/>
      <c r="I29" s="303"/>
      <c r="J29" s="303"/>
      <c r="K29" s="304"/>
      <c r="L29" s="261" t="s">
        <v>40</v>
      </c>
      <c r="M29" s="262"/>
      <c r="N29" s="262"/>
      <c r="O29" s="263"/>
      <c r="P29" s="261" t="s">
        <v>40</v>
      </c>
      <c r="Q29" s="263"/>
      <c r="R29" s="264" t="s">
        <v>40</v>
      </c>
      <c r="S29" s="265"/>
      <c r="T29" s="266"/>
    </row>
    <row r="30" spans="2:21" ht="25.15" customHeight="1">
      <c r="B30" s="69" t="str">
        <f t="shared" si="0"/>
        <v/>
      </c>
      <c r="C30" s="46"/>
      <c r="D30" s="45"/>
      <c r="E30" s="256"/>
      <c r="F30" s="257"/>
      <c r="G30" s="256"/>
      <c r="H30" s="299"/>
      <c r="I30" s="299"/>
      <c r="J30" s="299"/>
      <c r="K30" s="257"/>
      <c r="L30" s="279"/>
      <c r="M30" s="280"/>
      <c r="N30" s="280"/>
      <c r="O30" s="281"/>
      <c r="P30" s="279"/>
      <c r="Q30" s="281"/>
      <c r="R30" s="291"/>
      <c r="S30" s="292"/>
      <c r="T30" s="293"/>
    </row>
    <row r="31" spans="2:21" ht="25.15" customHeight="1">
      <c r="B31" s="69" t="str">
        <f t="shared" si="0"/>
        <v/>
      </c>
      <c r="C31" s="46"/>
      <c r="D31" s="45"/>
      <c r="E31" s="256"/>
      <c r="F31" s="257"/>
      <c r="G31" s="256"/>
      <c r="H31" s="299"/>
      <c r="I31" s="299"/>
      <c r="J31" s="299"/>
      <c r="K31" s="257"/>
      <c r="L31" s="279"/>
      <c r="M31" s="280"/>
      <c r="N31" s="280"/>
      <c r="O31" s="281"/>
      <c r="P31" s="279"/>
      <c r="Q31" s="281"/>
      <c r="R31" s="291"/>
      <c r="S31" s="292"/>
      <c r="T31" s="293"/>
    </row>
    <row r="32" spans="2:21" ht="25.15" customHeight="1">
      <c r="B32" s="69" t="str">
        <f t="shared" si="0"/>
        <v/>
      </c>
      <c r="C32" s="46"/>
      <c r="D32" s="45"/>
      <c r="E32" s="256"/>
      <c r="F32" s="257"/>
      <c r="G32" s="256"/>
      <c r="H32" s="299"/>
      <c r="I32" s="299"/>
      <c r="J32" s="299"/>
      <c r="K32" s="257"/>
      <c r="L32" s="279"/>
      <c r="M32" s="280"/>
      <c r="N32" s="280"/>
      <c r="O32" s="281"/>
      <c r="P32" s="279"/>
      <c r="Q32" s="281"/>
      <c r="R32" s="291"/>
      <c r="S32" s="292"/>
      <c r="T32" s="293"/>
    </row>
    <row r="33" spans="2:20" ht="25.15" customHeight="1">
      <c r="B33" s="69" t="str">
        <f t="shared" si="0"/>
        <v/>
      </c>
      <c r="C33" s="46"/>
      <c r="D33" s="45"/>
      <c r="E33" s="256"/>
      <c r="F33" s="257"/>
      <c r="G33" s="256"/>
      <c r="H33" s="299"/>
      <c r="I33" s="299"/>
      <c r="J33" s="299"/>
      <c r="K33" s="257"/>
      <c r="L33" s="279"/>
      <c r="M33" s="280"/>
      <c r="N33" s="280"/>
      <c r="O33" s="281"/>
      <c r="P33" s="279"/>
      <c r="Q33" s="281"/>
      <c r="R33" s="291"/>
      <c r="S33" s="292"/>
      <c r="T33" s="293"/>
    </row>
    <row r="34" spans="2:20" ht="25.15" customHeight="1">
      <c r="B34" s="69" t="str">
        <f t="shared" si="0"/>
        <v/>
      </c>
      <c r="C34" s="46"/>
      <c r="D34" s="45"/>
      <c r="E34" s="256"/>
      <c r="F34" s="257"/>
      <c r="G34" s="256"/>
      <c r="H34" s="299"/>
      <c r="I34" s="299"/>
      <c r="J34" s="299"/>
      <c r="K34" s="257"/>
      <c r="L34" s="279"/>
      <c r="M34" s="280"/>
      <c r="N34" s="280"/>
      <c r="O34" s="281"/>
      <c r="P34" s="279"/>
      <c r="Q34" s="281"/>
      <c r="R34" s="291"/>
      <c r="S34" s="292"/>
      <c r="T34" s="293"/>
    </row>
    <row r="35" spans="2:20" ht="25.15" customHeight="1">
      <c r="B35" s="69" t="str">
        <f t="shared" si="0"/>
        <v/>
      </c>
      <c r="C35" s="46"/>
      <c r="D35" s="45"/>
      <c r="E35" s="256"/>
      <c r="F35" s="257"/>
      <c r="G35" s="256"/>
      <c r="H35" s="299"/>
      <c r="I35" s="299"/>
      <c r="J35" s="299"/>
      <c r="K35" s="257"/>
      <c r="L35" s="279"/>
      <c r="M35" s="280"/>
      <c r="N35" s="280"/>
      <c r="O35" s="281"/>
      <c r="P35" s="279"/>
      <c r="Q35" s="281"/>
      <c r="R35" s="291"/>
      <c r="S35" s="292"/>
      <c r="T35" s="293"/>
    </row>
    <row r="36" spans="2:20" ht="25.15" customHeight="1">
      <c r="B36" s="69" t="str">
        <f t="shared" si="0"/>
        <v/>
      </c>
      <c r="C36" s="46"/>
      <c r="D36" s="45"/>
      <c r="E36" s="256"/>
      <c r="F36" s="257"/>
      <c r="G36" s="256"/>
      <c r="H36" s="299"/>
      <c r="I36" s="299"/>
      <c r="J36" s="299"/>
      <c r="K36" s="257"/>
      <c r="L36" s="279"/>
      <c r="M36" s="280"/>
      <c r="N36" s="280"/>
      <c r="O36" s="281"/>
      <c r="P36" s="279"/>
      <c r="Q36" s="281"/>
      <c r="R36" s="291"/>
      <c r="S36" s="292"/>
      <c r="T36" s="293"/>
    </row>
    <row r="37" spans="2:20" ht="25.15" customHeight="1">
      <c r="B37" s="69" t="str">
        <f t="shared" si="0"/>
        <v/>
      </c>
      <c r="C37" s="47"/>
      <c r="D37" s="36"/>
      <c r="E37" s="256"/>
      <c r="F37" s="257"/>
      <c r="G37" s="256"/>
      <c r="H37" s="299"/>
      <c r="I37" s="299"/>
      <c r="J37" s="299"/>
      <c r="K37" s="257"/>
      <c r="L37" s="279"/>
      <c r="M37" s="280"/>
      <c r="N37" s="280"/>
      <c r="O37" s="281"/>
      <c r="P37" s="279"/>
      <c r="Q37" s="281"/>
      <c r="R37" s="291"/>
      <c r="S37" s="292"/>
      <c r="T37" s="293"/>
    </row>
    <row r="38" spans="2:20" ht="25.15" customHeight="1">
      <c r="B38" s="69" t="str">
        <f t="shared" si="0"/>
        <v/>
      </c>
      <c r="C38" s="48"/>
      <c r="D38" s="53"/>
      <c r="E38" s="258"/>
      <c r="F38" s="260"/>
      <c r="G38" s="256"/>
      <c r="H38" s="299"/>
      <c r="I38" s="299"/>
      <c r="J38" s="299"/>
      <c r="K38" s="257"/>
      <c r="L38" s="279"/>
      <c r="M38" s="280"/>
      <c r="N38" s="280"/>
      <c r="O38" s="281"/>
      <c r="P38" s="261"/>
      <c r="Q38" s="263"/>
      <c r="R38" s="291"/>
      <c r="S38" s="292"/>
      <c r="T38" s="293"/>
    </row>
    <row r="39" spans="2:20" ht="25.15" customHeight="1">
      <c r="B39" s="69" t="str">
        <f t="shared" si="0"/>
        <v/>
      </c>
      <c r="C39" s="48"/>
      <c r="D39" s="53"/>
      <c r="E39" s="73"/>
      <c r="F39" s="74"/>
      <c r="G39" s="256"/>
      <c r="H39" s="299"/>
      <c r="I39" s="299"/>
      <c r="J39" s="299"/>
      <c r="K39" s="257"/>
      <c r="L39" s="279"/>
      <c r="M39" s="280"/>
      <c r="N39" s="280"/>
      <c r="O39" s="281"/>
      <c r="P39" s="261"/>
      <c r="Q39" s="263"/>
      <c r="R39" s="291"/>
      <c r="S39" s="292"/>
      <c r="T39" s="293"/>
    </row>
    <row r="40" spans="2:20" ht="25.15" customHeight="1">
      <c r="B40" s="69" t="str">
        <f t="shared" si="0"/>
        <v/>
      </c>
      <c r="C40" s="48"/>
      <c r="D40" s="53"/>
      <c r="E40" s="258"/>
      <c r="F40" s="260"/>
      <c r="G40" s="256"/>
      <c r="H40" s="299"/>
      <c r="I40" s="299"/>
      <c r="J40" s="299"/>
      <c r="K40" s="257"/>
      <c r="L40" s="279"/>
      <c r="M40" s="280"/>
      <c r="N40" s="280"/>
      <c r="O40" s="281"/>
      <c r="P40" s="261"/>
      <c r="Q40" s="263"/>
      <c r="R40" s="291"/>
      <c r="S40" s="292"/>
      <c r="T40" s="293"/>
    </row>
    <row r="41" spans="2:20" ht="25.15" customHeight="1">
      <c r="B41" s="69" t="str">
        <f t="shared" si="0"/>
        <v/>
      </c>
      <c r="C41" s="48"/>
      <c r="D41" s="53"/>
      <c r="E41" s="258"/>
      <c r="F41" s="260"/>
      <c r="G41" s="256"/>
      <c r="H41" s="299"/>
      <c r="I41" s="299"/>
      <c r="J41" s="299"/>
      <c r="K41" s="257"/>
      <c r="L41" s="279"/>
      <c r="M41" s="280"/>
      <c r="N41" s="280"/>
      <c r="O41" s="281"/>
      <c r="P41" s="261"/>
      <c r="Q41" s="263"/>
      <c r="R41" s="291"/>
      <c r="S41" s="292"/>
      <c r="T41" s="293"/>
    </row>
    <row r="42" spans="2:20" ht="25.15" customHeight="1">
      <c r="B42" s="69" t="str">
        <f t="shared" si="0"/>
        <v/>
      </c>
      <c r="C42" s="48"/>
      <c r="D42" s="53"/>
      <c r="E42" s="258"/>
      <c r="F42" s="260"/>
      <c r="G42" s="256"/>
      <c r="H42" s="299"/>
      <c r="I42" s="299"/>
      <c r="J42" s="299"/>
      <c r="K42" s="257"/>
      <c r="L42" s="279"/>
      <c r="M42" s="280"/>
      <c r="N42" s="280"/>
      <c r="O42" s="281"/>
      <c r="P42" s="261"/>
      <c r="Q42" s="263"/>
      <c r="R42" s="291"/>
      <c r="S42" s="292"/>
      <c r="T42" s="293"/>
    </row>
    <row r="43" spans="2:20" ht="25.15" customHeight="1">
      <c r="B43" s="69" t="str">
        <f t="shared" si="0"/>
        <v/>
      </c>
      <c r="C43" s="48"/>
      <c r="D43" s="53"/>
      <c r="E43" s="258"/>
      <c r="F43" s="260"/>
      <c r="G43" s="256"/>
      <c r="H43" s="299"/>
      <c r="I43" s="299"/>
      <c r="J43" s="299"/>
      <c r="K43" s="257"/>
      <c r="L43" s="279"/>
      <c r="M43" s="280"/>
      <c r="N43" s="280"/>
      <c r="O43" s="281"/>
      <c r="P43" s="261"/>
      <c r="Q43" s="263"/>
      <c r="R43" s="291"/>
      <c r="S43" s="292"/>
      <c r="T43" s="293"/>
    </row>
    <row r="44" spans="2:20" ht="25.15" customHeight="1">
      <c r="B44" s="69" t="str">
        <f t="shared" si="0"/>
        <v/>
      </c>
      <c r="C44" s="48"/>
      <c r="D44" s="53"/>
      <c r="E44" s="258"/>
      <c r="F44" s="260"/>
      <c r="G44" s="256"/>
      <c r="H44" s="299"/>
      <c r="I44" s="299"/>
      <c r="J44" s="299"/>
      <c r="K44" s="257"/>
      <c r="L44" s="279"/>
      <c r="M44" s="280"/>
      <c r="N44" s="280"/>
      <c r="O44" s="281"/>
      <c r="P44" s="261"/>
      <c r="Q44" s="263"/>
      <c r="R44" s="291"/>
      <c r="S44" s="292"/>
      <c r="T44" s="293"/>
    </row>
    <row r="45" spans="2:20" ht="25.15" customHeight="1">
      <c r="B45" s="69" t="str">
        <f t="shared" si="0"/>
        <v/>
      </c>
      <c r="C45" s="48"/>
      <c r="D45" s="53"/>
      <c r="E45" s="258"/>
      <c r="F45" s="260"/>
      <c r="G45" s="256"/>
      <c r="H45" s="299"/>
      <c r="I45" s="299"/>
      <c r="J45" s="299"/>
      <c r="K45" s="257"/>
      <c r="L45" s="279"/>
      <c r="M45" s="280"/>
      <c r="N45" s="280"/>
      <c r="O45" s="281"/>
      <c r="P45" s="261"/>
      <c r="Q45" s="263"/>
      <c r="R45" s="291"/>
      <c r="S45" s="292"/>
      <c r="T45" s="293"/>
    </row>
    <row r="46" spans="2:20" ht="25.15" customHeight="1">
      <c r="B46" s="69" t="str">
        <f t="shared" si="0"/>
        <v/>
      </c>
      <c r="C46" s="48"/>
      <c r="D46" s="32"/>
      <c r="E46" s="256"/>
      <c r="F46" s="257"/>
      <c r="G46" s="256"/>
      <c r="H46" s="299"/>
      <c r="I46" s="299"/>
      <c r="J46" s="299"/>
      <c r="K46" s="257"/>
      <c r="L46" s="279"/>
      <c r="M46" s="280"/>
      <c r="N46" s="280"/>
      <c r="O46" s="281"/>
      <c r="P46" s="279"/>
      <c r="Q46" s="281"/>
      <c r="R46" s="291"/>
      <c r="S46" s="292"/>
      <c r="T46" s="293"/>
    </row>
    <row r="47" spans="2:20" ht="25.15" customHeight="1">
      <c r="B47" s="69" t="str">
        <f t="shared" si="0"/>
        <v/>
      </c>
      <c r="C47" s="48"/>
      <c r="D47" s="32"/>
      <c r="E47" s="256"/>
      <c r="F47" s="257"/>
      <c r="G47" s="256"/>
      <c r="H47" s="299"/>
      <c r="I47" s="299"/>
      <c r="J47" s="299"/>
      <c r="K47" s="257"/>
      <c r="L47" s="279"/>
      <c r="M47" s="280"/>
      <c r="N47" s="280"/>
      <c r="O47" s="281"/>
      <c r="P47" s="279"/>
      <c r="Q47" s="281"/>
      <c r="R47" s="291"/>
      <c r="S47" s="292"/>
      <c r="T47" s="293"/>
    </row>
    <row r="48" spans="2:20" ht="25.15" customHeight="1">
      <c r="B48" s="69" t="str">
        <f t="shared" si="0"/>
        <v/>
      </c>
      <c r="C48" s="48"/>
      <c r="D48" s="32"/>
      <c r="E48" s="256"/>
      <c r="F48" s="257"/>
      <c r="G48" s="256"/>
      <c r="H48" s="299"/>
      <c r="I48" s="299"/>
      <c r="J48" s="299"/>
      <c r="K48" s="257"/>
      <c r="L48" s="279"/>
      <c r="M48" s="280"/>
      <c r="N48" s="280"/>
      <c r="O48" s="281"/>
      <c r="P48" s="279"/>
      <c r="Q48" s="281"/>
      <c r="R48" s="291"/>
      <c r="S48" s="292"/>
      <c r="T48" s="293"/>
    </row>
    <row r="49" spans="2:20" ht="25.15" customHeight="1">
      <c r="B49" s="69" t="str">
        <f t="shared" si="0"/>
        <v/>
      </c>
      <c r="C49" s="48"/>
      <c r="D49" s="32"/>
      <c r="E49" s="256"/>
      <c r="F49" s="257"/>
      <c r="G49" s="256"/>
      <c r="H49" s="299"/>
      <c r="I49" s="299"/>
      <c r="J49" s="299"/>
      <c r="K49" s="257"/>
      <c r="L49" s="279"/>
      <c r="M49" s="280"/>
      <c r="N49" s="280"/>
      <c r="O49" s="281"/>
      <c r="P49" s="279"/>
      <c r="Q49" s="281"/>
      <c r="R49" s="291"/>
      <c r="S49" s="292"/>
      <c r="T49" s="293"/>
    </row>
    <row r="50" spans="2:20" ht="25.15" customHeight="1">
      <c r="B50" s="69" t="str">
        <f t="shared" si="0"/>
        <v/>
      </c>
      <c r="C50" s="48"/>
      <c r="D50" s="32"/>
      <c r="E50" s="256"/>
      <c r="F50" s="257"/>
      <c r="G50" s="256"/>
      <c r="H50" s="299"/>
      <c r="I50" s="299"/>
      <c r="J50" s="299"/>
      <c r="K50" s="257"/>
      <c r="L50" s="279"/>
      <c r="M50" s="280"/>
      <c r="N50" s="280"/>
      <c r="O50" s="281"/>
      <c r="P50" s="279"/>
      <c r="Q50" s="281"/>
      <c r="R50" s="291"/>
      <c r="S50" s="292"/>
      <c r="T50" s="293"/>
    </row>
    <row r="51" spans="2:20" ht="25.15" customHeight="1">
      <c r="B51" s="69" t="str">
        <f t="shared" si="0"/>
        <v/>
      </c>
      <c r="C51" s="48"/>
      <c r="D51" s="32"/>
      <c r="E51" s="256"/>
      <c r="F51" s="257"/>
      <c r="G51" s="256"/>
      <c r="H51" s="299"/>
      <c r="I51" s="299"/>
      <c r="J51" s="299"/>
      <c r="K51" s="257"/>
      <c r="L51" s="279"/>
      <c r="M51" s="280"/>
      <c r="N51" s="280"/>
      <c r="O51" s="281"/>
      <c r="P51" s="279"/>
      <c r="Q51" s="281"/>
      <c r="R51" s="291"/>
      <c r="S51" s="292"/>
      <c r="T51" s="293"/>
    </row>
    <row r="52" spans="2:20" ht="25.15" customHeight="1">
      <c r="B52" s="69" t="str">
        <f t="shared" si="0"/>
        <v/>
      </c>
      <c r="C52" s="48"/>
      <c r="D52" s="32"/>
      <c r="E52" s="256"/>
      <c r="F52" s="257"/>
      <c r="G52" s="256"/>
      <c r="H52" s="299"/>
      <c r="I52" s="299"/>
      <c r="J52" s="299"/>
      <c r="K52" s="257"/>
      <c r="L52" s="279"/>
      <c r="M52" s="280"/>
      <c r="N52" s="280"/>
      <c r="O52" s="281"/>
      <c r="P52" s="279"/>
      <c r="Q52" s="281"/>
      <c r="R52" s="291"/>
      <c r="S52" s="292"/>
      <c r="T52" s="293"/>
    </row>
    <row r="53" spans="2:20" ht="25.15" customHeight="1" thickBot="1">
      <c r="B53" s="70" t="str">
        <f>IF(G53="","",B52+1)</f>
        <v/>
      </c>
      <c r="C53" s="49"/>
      <c r="D53" s="33"/>
      <c r="E53" s="300"/>
      <c r="F53" s="301"/>
      <c r="G53" s="300"/>
      <c r="H53" s="308"/>
      <c r="I53" s="308"/>
      <c r="J53" s="308"/>
      <c r="K53" s="301"/>
      <c r="L53" s="285"/>
      <c r="M53" s="286"/>
      <c r="N53" s="286"/>
      <c r="O53" s="287"/>
      <c r="P53" s="285"/>
      <c r="Q53" s="287"/>
      <c r="R53" s="294"/>
      <c r="S53" s="295"/>
      <c r="T53" s="296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5"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  <mergeCell ref="G32:K32"/>
    <mergeCell ref="G33:K33"/>
    <mergeCell ref="G34:K34"/>
    <mergeCell ref="G23:K23"/>
    <mergeCell ref="G24:K24"/>
    <mergeCell ref="G25:K25"/>
    <mergeCell ref="G26:K26"/>
    <mergeCell ref="G28:K28"/>
    <mergeCell ref="G52:K52"/>
    <mergeCell ref="G21:K21"/>
    <mergeCell ref="G22:K22"/>
    <mergeCell ref="E52:F52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E17:F17"/>
    <mergeCell ref="G11:K11"/>
    <mergeCell ref="E11:F11"/>
    <mergeCell ref="E12:F12"/>
    <mergeCell ref="E13:F13"/>
    <mergeCell ref="E14:F14"/>
    <mergeCell ref="E27:F27"/>
    <mergeCell ref="E43:F43"/>
    <mergeCell ref="E31:F31"/>
    <mergeCell ref="E32:F32"/>
    <mergeCell ref="E28:F28"/>
    <mergeCell ref="E25:F25"/>
    <mergeCell ref="E26:F26"/>
    <mergeCell ref="E21:F21"/>
    <mergeCell ref="E22:F22"/>
    <mergeCell ref="E19:F19"/>
    <mergeCell ref="E20:F20"/>
    <mergeCell ref="E42:F42"/>
    <mergeCell ref="G41:K41"/>
    <mergeCell ref="G42:K42"/>
    <mergeCell ref="E40:F40"/>
    <mergeCell ref="G18:K18"/>
    <mergeCell ref="G19:K19"/>
    <mergeCell ref="G20:K20"/>
    <mergeCell ref="E36:F36"/>
    <mergeCell ref="E29:F29"/>
    <mergeCell ref="E30:F30"/>
    <mergeCell ref="E23:F23"/>
    <mergeCell ref="E24:F24"/>
    <mergeCell ref="E18:F18"/>
    <mergeCell ref="E37:F37"/>
    <mergeCell ref="E38:F38"/>
    <mergeCell ref="E33:F33"/>
    <mergeCell ref="E34:F34"/>
    <mergeCell ref="R50:T50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R28:T28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P51:Q51"/>
    <mergeCell ref="P52:Q52"/>
    <mergeCell ref="P24:Q24"/>
    <mergeCell ref="P25:Q25"/>
    <mergeCell ref="P26:Q26"/>
    <mergeCell ref="P53:Q53"/>
    <mergeCell ref="R14:T14"/>
    <mergeCell ref="R27:T27"/>
    <mergeCell ref="R16:T16"/>
    <mergeCell ref="R17:T17"/>
    <mergeCell ref="R18:T18"/>
    <mergeCell ref="R19:T19"/>
    <mergeCell ref="P45:Q45"/>
    <mergeCell ref="P46:Q46"/>
    <mergeCell ref="P47:Q47"/>
    <mergeCell ref="P48:Q48"/>
    <mergeCell ref="P49:Q49"/>
    <mergeCell ref="P50:Q50"/>
    <mergeCell ref="P39:Q39"/>
    <mergeCell ref="P40:Q40"/>
    <mergeCell ref="P41:Q41"/>
    <mergeCell ref="P42:Q42"/>
    <mergeCell ref="P43:Q43"/>
    <mergeCell ref="P44:Q44"/>
    <mergeCell ref="L52:O52"/>
    <mergeCell ref="L53:O53"/>
    <mergeCell ref="P14:Q14"/>
    <mergeCell ref="P27:Q27"/>
    <mergeCell ref="P16:Q16"/>
    <mergeCell ref="P17:Q17"/>
    <mergeCell ref="P18:Q18"/>
    <mergeCell ref="P19:Q19"/>
    <mergeCell ref="P20:Q20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P37:Q37"/>
    <mergeCell ref="L50:O50"/>
    <mergeCell ref="L51:O51"/>
    <mergeCell ref="P28:Q28"/>
    <mergeCell ref="P29:Q29"/>
    <mergeCell ref="E44:F44"/>
    <mergeCell ref="E35:F35"/>
    <mergeCell ref="P13:Q13"/>
    <mergeCell ref="R12:T12"/>
    <mergeCell ref="R13:T13"/>
    <mergeCell ref="L14:O14"/>
    <mergeCell ref="L27:O27"/>
    <mergeCell ref="P11:Q11"/>
    <mergeCell ref="R11:T11"/>
    <mergeCell ref="L11:O11"/>
    <mergeCell ref="L23:O23"/>
    <mergeCell ref="L17:O17"/>
    <mergeCell ref="L18:O18"/>
    <mergeCell ref="L19:O19"/>
    <mergeCell ref="L20:O20"/>
    <mergeCell ref="L21:O21"/>
    <mergeCell ref="P21:Q21"/>
    <mergeCell ref="P22:Q22"/>
    <mergeCell ref="P23:Q23"/>
    <mergeCell ref="P30:Q30"/>
    <mergeCell ref="P31:Q31"/>
    <mergeCell ref="P32:Q32"/>
    <mergeCell ref="P33:Q33"/>
    <mergeCell ref="P34:Q34"/>
    <mergeCell ref="P7:Q7"/>
    <mergeCell ref="R7:S7"/>
    <mergeCell ref="P12:Q12"/>
    <mergeCell ref="E47:F47"/>
    <mergeCell ref="L37:O37"/>
    <mergeCell ref="L30:O30"/>
    <mergeCell ref="L29:O29"/>
    <mergeCell ref="L22:O22"/>
    <mergeCell ref="L16:O16"/>
    <mergeCell ref="L13:O13"/>
    <mergeCell ref="L24:O24"/>
    <mergeCell ref="L25:O25"/>
    <mergeCell ref="L26:O26"/>
    <mergeCell ref="L28:O28"/>
    <mergeCell ref="L40:O40"/>
    <mergeCell ref="L41:O41"/>
    <mergeCell ref="L42:O42"/>
    <mergeCell ref="L43:O43"/>
    <mergeCell ref="L31:O31"/>
    <mergeCell ref="L32:O32"/>
    <mergeCell ref="L33:O33"/>
    <mergeCell ref="L34:O34"/>
    <mergeCell ref="L35:O35"/>
    <mergeCell ref="L36:O36"/>
    <mergeCell ref="E15:F15"/>
    <mergeCell ref="G15:K15"/>
    <mergeCell ref="L15:O15"/>
    <mergeCell ref="P15:Q15"/>
    <mergeCell ref="R15:T15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</mergeCells>
  <phoneticPr fontId="17" type="noConversion"/>
  <conditionalFormatting sqref="C12:F33">
    <cfRule type="expression" dxfId="50" priority="5">
      <formula>$C12=0</formula>
    </cfRule>
  </conditionalFormatting>
  <conditionalFormatting sqref="G16:Q17 G20:Q21 G18:O19 G22:O25">
    <cfRule type="expression" dxfId="49" priority="7">
      <formula>$C16=0</formula>
    </cfRule>
  </conditionalFormatting>
  <conditionalFormatting sqref="G27:O28 R27:R28">
    <cfRule type="expression" dxfId="48" priority="76">
      <formula>$C27=0</formula>
    </cfRule>
  </conditionalFormatting>
  <conditionalFormatting sqref="G12:T15">
    <cfRule type="expression" dxfId="47" priority="3">
      <formula>$C12=0</formula>
    </cfRule>
  </conditionalFormatting>
  <conditionalFormatting sqref="G26:O26 R26:T26">
    <cfRule type="expression" dxfId="46" priority="84">
      <formula>$C26=0</formula>
    </cfRule>
  </conditionalFormatting>
  <conditionalFormatting sqref="G30:T33 C34:T53 G29:O29 R29:T29">
    <cfRule type="expression" dxfId="45" priority="68">
      <formula>$C29=0</formula>
    </cfRule>
  </conditionalFormatting>
  <conditionalFormatting sqref="R16">
    <cfRule type="expression" dxfId="44" priority="63">
      <formula>$C16=0</formula>
    </cfRule>
  </conditionalFormatting>
  <conditionalFormatting sqref="R17:T25">
    <cfRule type="expression" dxfId="43" priority="16">
      <formula>$C17=0</formula>
    </cfRule>
  </conditionalFormatting>
  <conditionalFormatting sqref="P18:Q19">
    <cfRule type="expression" dxfId="42" priority="2">
      <formula>$C18=0</formula>
    </cfRule>
  </conditionalFormatting>
  <conditionalFormatting sqref="P22:Q29">
    <cfRule type="expression" dxfId="41" priority="1">
      <formula>$C22=0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61" fitToHeight="0" orientation="landscape" verticalDpi="300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 filterMode="1">
    <pageSetUpPr fitToPage="1"/>
  </sheetPr>
  <dimension ref="A1:Z238"/>
  <sheetViews>
    <sheetView showGridLines="0" tabSelected="1" zoomScale="70" zoomScaleNormal="70" workbookViewId="0">
      <pane xSplit="2" ySplit="11" topLeftCell="C12" activePane="bottomRight" state="frozen"/>
      <selection pane="bottomRight" activeCell="E33" sqref="E33:H33"/>
      <selection pane="bottomLeft" activeCell="A13" sqref="A13"/>
      <selection pane="topRight" activeCell="C1" sqref="C1"/>
    </sheetView>
  </sheetViews>
  <sheetFormatPr defaultColWidth="0" defaultRowHeight="0" customHeight="1" zeroHeight="1"/>
  <cols>
    <col min="1" max="1" width="0.7109375" style="1" customWidth="1"/>
    <col min="2" max="2" width="8.7109375" style="3" customWidth="1"/>
    <col min="3" max="3" width="13.7109375" style="3" customWidth="1"/>
    <col min="4" max="4" width="18.5703125" style="3" customWidth="1"/>
    <col min="5" max="7" width="13.7109375" style="3" customWidth="1"/>
    <col min="8" max="8" width="24.28515625" style="3" customWidth="1"/>
    <col min="9" max="9" width="30" style="3" customWidth="1"/>
    <col min="10" max="10" width="35.7109375" style="3" customWidth="1"/>
    <col min="11" max="11" width="16.28515625" style="3" customWidth="1"/>
    <col min="12" max="12" width="16.5703125" style="3" customWidth="1"/>
    <col min="13" max="13" width="17.5703125" style="3" customWidth="1"/>
    <col min="14" max="14" width="6.7109375" style="3" customWidth="1"/>
    <col min="15" max="15" width="5.7109375" style="3" customWidth="1"/>
    <col min="16" max="16" width="6.140625" style="3" customWidth="1"/>
    <col min="17" max="17" width="10.28515625" style="3" customWidth="1"/>
    <col min="18" max="18" width="13.7109375" style="3" customWidth="1"/>
    <col min="19" max="19" width="20" style="3" customWidth="1"/>
    <col min="20" max="20" width="18.28515625" style="3" customWidth="1"/>
    <col min="21" max="21" width="18" style="1" customWidth="1"/>
    <col min="22" max="22" width="13.7109375" style="1" customWidth="1"/>
    <col min="23" max="23" width="31.7109375" style="1" customWidth="1"/>
    <col min="24" max="24" width="0.7109375" style="1" customWidth="1"/>
    <col min="25" max="25" width="0" style="1" hidden="1" customWidth="1"/>
    <col min="26" max="16384" width="9.28515625" style="1" hidden="1"/>
  </cols>
  <sheetData>
    <row r="1" spans="2:24" ht="5.0999999999999996" customHeight="1"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</row>
    <row r="2" spans="2:24" ht="5.0999999999999996" customHeight="1">
      <c r="B2" s="188"/>
      <c r="C2" s="189"/>
      <c r="D2" s="189"/>
      <c r="E2" s="189"/>
      <c r="F2" s="21"/>
      <c r="G2" s="21"/>
      <c r="H2" s="21"/>
      <c r="I2" s="21"/>
      <c r="J2" s="21"/>
      <c r="K2" s="21"/>
      <c r="L2" s="21"/>
      <c r="M2" s="21"/>
      <c r="N2" s="21"/>
      <c r="O2" s="21"/>
      <c r="P2" s="6"/>
      <c r="Q2" s="19"/>
      <c r="R2" s="19"/>
      <c r="S2" s="19"/>
      <c r="T2" s="19"/>
      <c r="U2" s="19"/>
      <c r="V2" s="19"/>
      <c r="W2" s="20"/>
    </row>
    <row r="3" spans="2:24" ht="30" customHeight="1">
      <c r="B3" s="190"/>
      <c r="C3" s="187"/>
      <c r="D3" s="187"/>
      <c r="E3" s="187"/>
      <c r="F3" s="194" t="e">
        <f>#REF!</f>
        <v>#REF!</v>
      </c>
      <c r="G3" s="195"/>
      <c r="H3" s="195"/>
      <c r="I3" s="195"/>
      <c r="J3" s="195"/>
      <c r="K3" s="195"/>
      <c r="L3" s="195"/>
      <c r="M3" s="195"/>
      <c r="N3" s="195"/>
      <c r="O3" s="196"/>
      <c r="Q3" s="194" t="s">
        <v>1</v>
      </c>
      <c r="R3" s="195"/>
      <c r="S3" s="195"/>
      <c r="T3" s="195"/>
      <c r="U3" s="195"/>
      <c r="V3" s="195"/>
      <c r="W3" s="196"/>
    </row>
    <row r="4" spans="2:24" ht="5.0999999999999996" customHeight="1">
      <c r="B4" s="190"/>
      <c r="C4" s="187"/>
      <c r="D4" s="187"/>
      <c r="E4" s="187"/>
      <c r="F4" s="18"/>
      <c r="G4" s="18"/>
      <c r="H4" s="18"/>
      <c r="I4" s="18"/>
      <c r="J4" s="18"/>
      <c r="K4" s="18"/>
      <c r="L4" s="18"/>
      <c r="M4" s="18"/>
      <c r="N4" s="18"/>
      <c r="O4" s="18"/>
      <c r="Q4" s="207"/>
      <c r="R4" s="208"/>
      <c r="S4" s="208"/>
      <c r="T4" s="208"/>
      <c r="U4" s="208"/>
      <c r="V4" s="208"/>
      <c r="W4" s="209"/>
    </row>
    <row r="5" spans="2:24" s="60" customFormat="1" ht="20.100000000000001" customHeight="1">
      <c r="B5" s="190"/>
      <c r="C5" s="187"/>
      <c r="D5" s="187"/>
      <c r="E5" s="187"/>
      <c r="F5" s="55" t="s">
        <v>350</v>
      </c>
      <c r="G5" s="333" t="s">
        <v>3</v>
      </c>
      <c r="H5" s="334"/>
      <c r="I5" s="335"/>
      <c r="J5" s="61"/>
      <c r="K5" s="61"/>
      <c r="L5" s="55" t="s">
        <v>351</v>
      </c>
      <c r="M5" s="333" t="str">
        <f>Geral!M5</f>
        <v>7-MRL-102H-RJS</v>
      </c>
      <c r="N5" s="334"/>
      <c r="O5" s="335"/>
      <c r="P5" s="62"/>
      <c r="Q5" s="210" t="s">
        <v>6</v>
      </c>
      <c r="R5" s="211"/>
      <c r="S5" s="212" t="s">
        <v>7</v>
      </c>
      <c r="T5" s="213"/>
      <c r="U5" s="210" t="s">
        <v>6</v>
      </c>
      <c r="V5" s="211"/>
      <c r="W5" s="50" t="s">
        <v>8</v>
      </c>
      <c r="X5" s="75"/>
    </row>
    <row r="6" spans="2:24" ht="20.100000000000001" customHeight="1">
      <c r="B6" s="190"/>
      <c r="C6" s="187"/>
      <c r="D6" s="187"/>
      <c r="E6" s="187"/>
      <c r="F6" s="17"/>
      <c r="G6" s="17" t="s">
        <v>313</v>
      </c>
      <c r="H6" s="17"/>
      <c r="I6" s="4"/>
      <c r="J6" s="18"/>
      <c r="K6" s="18"/>
      <c r="L6" s="17"/>
      <c r="M6" s="17" t="s">
        <v>352</v>
      </c>
      <c r="N6" s="17"/>
      <c r="O6" s="4"/>
      <c r="P6" s="4"/>
      <c r="Q6" s="325" t="s">
        <v>9</v>
      </c>
      <c r="R6" s="326"/>
      <c r="S6" s="199" t="s">
        <v>10</v>
      </c>
      <c r="T6" s="200"/>
      <c r="U6" s="325" t="s">
        <v>9</v>
      </c>
      <c r="V6" s="326"/>
      <c r="W6" s="50" t="s">
        <v>11</v>
      </c>
    </row>
    <row r="7" spans="2:24" s="60" customFormat="1" ht="20.100000000000001" customHeight="1">
      <c r="B7" s="190"/>
      <c r="C7" s="187"/>
      <c r="D7" s="187"/>
      <c r="E7" s="187"/>
      <c r="F7" s="55" t="s">
        <v>353</v>
      </c>
      <c r="G7" s="330">
        <v>46000</v>
      </c>
      <c r="H7" s="331"/>
      <c r="I7" s="332"/>
      <c r="J7" s="61"/>
      <c r="K7" s="61"/>
      <c r="L7" s="55" t="s">
        <v>354</v>
      </c>
      <c r="M7" s="333" t="str">
        <f>Geral!M7</f>
        <v>MARLIM</v>
      </c>
      <c r="N7" s="334"/>
      <c r="O7" s="335"/>
      <c r="P7" s="58"/>
      <c r="Q7" s="325" t="s">
        <v>9</v>
      </c>
      <c r="R7" s="326"/>
      <c r="S7" s="205" t="s">
        <v>15</v>
      </c>
      <c r="T7" s="206"/>
      <c r="U7" s="197" t="s">
        <v>9</v>
      </c>
      <c r="V7" s="198"/>
      <c r="W7" s="50" t="s">
        <v>16</v>
      </c>
    </row>
    <row r="8" spans="2:24" ht="5.0999999999999996" customHeight="1">
      <c r="B8" s="191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214"/>
    </row>
    <row r="9" spans="2:24" s="60" customFormat="1" ht="25.15" customHeight="1" thickBot="1">
      <c r="B9" s="322" t="s">
        <v>17</v>
      </c>
      <c r="C9" s="323"/>
      <c r="D9" s="323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  <c r="Q9" s="323"/>
      <c r="R9" s="323"/>
      <c r="S9" s="323"/>
      <c r="T9" s="323"/>
      <c r="U9" s="323"/>
      <c r="V9" s="323"/>
      <c r="W9" s="324"/>
    </row>
    <row r="10" spans="2:24" ht="5.0999999999999996" customHeight="1">
      <c r="B10" s="190"/>
      <c r="C10" s="187"/>
      <c r="D10" s="187"/>
      <c r="E10" s="187"/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</row>
    <row r="11" spans="2:24" s="85" customFormat="1" ht="44.65" customHeight="1">
      <c r="B11" s="98" t="s">
        <v>18</v>
      </c>
      <c r="C11" s="98" t="s">
        <v>21</v>
      </c>
      <c r="D11" s="98" t="s">
        <v>22</v>
      </c>
      <c r="E11" s="329" t="s">
        <v>23</v>
      </c>
      <c r="F11" s="329"/>
      <c r="G11" s="329"/>
      <c r="H11" s="329"/>
      <c r="I11" s="98" t="s">
        <v>355</v>
      </c>
      <c r="J11" s="98" t="s">
        <v>356</v>
      </c>
      <c r="K11" s="98" t="s">
        <v>357</v>
      </c>
      <c r="L11" s="98" t="s">
        <v>358</v>
      </c>
      <c r="M11" s="98" t="s">
        <v>359</v>
      </c>
      <c r="N11" s="329" t="s">
        <v>360</v>
      </c>
      <c r="O11" s="329"/>
      <c r="P11" s="329"/>
      <c r="Q11" s="329"/>
      <c r="R11" s="98" t="s">
        <v>28</v>
      </c>
      <c r="S11" s="98" t="s">
        <v>29</v>
      </c>
      <c r="T11" s="98" t="s">
        <v>30</v>
      </c>
      <c r="U11" s="98" t="s">
        <v>31</v>
      </c>
      <c r="V11" s="98" t="s">
        <v>32</v>
      </c>
      <c r="W11" s="98" t="s">
        <v>35</v>
      </c>
    </row>
    <row r="12" spans="2:24" s="137" customFormat="1" ht="15.6">
      <c r="B12" s="99">
        <v>1</v>
      </c>
      <c r="C12" s="138">
        <v>495008</v>
      </c>
      <c r="D12" s="76" t="s">
        <v>138</v>
      </c>
      <c r="E12" s="309" t="s">
        <v>361</v>
      </c>
      <c r="F12" s="309"/>
      <c r="G12" s="309"/>
      <c r="H12" s="309"/>
      <c r="I12" s="76" t="s">
        <v>362</v>
      </c>
      <c r="J12" s="76" t="s">
        <v>40</v>
      </c>
      <c r="K12" s="77">
        <v>46199</v>
      </c>
      <c r="L12" s="77" t="s">
        <v>40</v>
      </c>
      <c r="M12" s="77" t="s">
        <v>363</v>
      </c>
      <c r="N12" s="328" t="s">
        <v>364</v>
      </c>
      <c r="O12" s="328"/>
      <c r="P12" s="328"/>
      <c r="Q12" s="328"/>
      <c r="R12" s="97" t="s">
        <v>40</v>
      </c>
      <c r="S12" s="97" t="s">
        <v>40</v>
      </c>
      <c r="T12" s="77" t="s">
        <v>40</v>
      </c>
      <c r="U12" s="97" t="s">
        <v>40</v>
      </c>
      <c r="V12" s="97" t="s">
        <v>40</v>
      </c>
      <c r="W12" s="76"/>
    </row>
    <row r="13" spans="2:24" s="137" customFormat="1" ht="15.75">
      <c r="B13" s="99">
        <v>2</v>
      </c>
      <c r="C13" s="138">
        <v>495008</v>
      </c>
      <c r="D13" s="76" t="s">
        <v>140</v>
      </c>
      <c r="E13" s="309" t="s">
        <v>361</v>
      </c>
      <c r="F13" s="309"/>
      <c r="G13" s="309"/>
      <c r="H13" s="309"/>
      <c r="I13" s="76" t="s">
        <v>365</v>
      </c>
      <c r="J13" s="76" t="s">
        <v>40</v>
      </c>
      <c r="K13" s="77">
        <v>46288</v>
      </c>
      <c r="L13" s="77" t="s">
        <v>40</v>
      </c>
      <c r="M13" s="77">
        <v>46288</v>
      </c>
      <c r="N13" s="310" t="s">
        <v>366</v>
      </c>
      <c r="O13" s="311"/>
      <c r="P13" s="311"/>
      <c r="Q13" s="312"/>
      <c r="R13" s="97" t="s">
        <v>40</v>
      </c>
      <c r="S13" s="97" t="s">
        <v>40</v>
      </c>
      <c r="T13" s="77" t="s">
        <v>40</v>
      </c>
      <c r="U13" s="97" t="s">
        <v>40</v>
      </c>
      <c r="V13" s="97" t="s">
        <v>40</v>
      </c>
      <c r="W13" s="76"/>
    </row>
    <row r="14" spans="2:24" s="137" customFormat="1" ht="15.75">
      <c r="B14" s="99">
        <v>3</v>
      </c>
      <c r="C14" s="138">
        <v>498056</v>
      </c>
      <c r="D14" s="76" t="s">
        <v>146</v>
      </c>
      <c r="E14" s="309" t="s">
        <v>367</v>
      </c>
      <c r="F14" s="309"/>
      <c r="G14" s="309"/>
      <c r="H14" s="309"/>
      <c r="I14" s="76" t="s">
        <v>368</v>
      </c>
      <c r="J14" s="139" t="s">
        <v>40</v>
      </c>
      <c r="K14" s="77" t="s">
        <v>369</v>
      </c>
      <c r="L14" s="77" t="s">
        <v>40</v>
      </c>
      <c r="M14" s="77" t="s">
        <v>369</v>
      </c>
      <c r="N14" s="328" t="s">
        <v>364</v>
      </c>
      <c r="O14" s="328"/>
      <c r="P14" s="328"/>
      <c r="Q14" s="328"/>
      <c r="R14" s="97" t="s">
        <v>40</v>
      </c>
      <c r="S14" s="97" t="s">
        <v>40</v>
      </c>
      <c r="T14" s="77" t="s">
        <v>40</v>
      </c>
      <c r="U14" s="97" t="s">
        <v>40</v>
      </c>
      <c r="V14" s="97" t="s">
        <v>40</v>
      </c>
      <c r="W14" s="76"/>
    </row>
    <row r="15" spans="2:24" s="137" customFormat="1" ht="15.75">
      <c r="B15" s="99">
        <v>4</v>
      </c>
      <c r="C15" s="138">
        <v>498056</v>
      </c>
      <c r="D15" s="76" t="s">
        <v>148</v>
      </c>
      <c r="E15" s="309" t="s">
        <v>367</v>
      </c>
      <c r="F15" s="309"/>
      <c r="G15" s="309"/>
      <c r="H15" s="309"/>
      <c r="I15" s="76" t="s">
        <v>370</v>
      </c>
      <c r="J15" s="76" t="s">
        <v>40</v>
      </c>
      <c r="K15" s="77">
        <v>46288</v>
      </c>
      <c r="L15" s="77" t="s">
        <v>40</v>
      </c>
      <c r="M15" s="77">
        <v>46277</v>
      </c>
      <c r="N15" s="310" t="s">
        <v>371</v>
      </c>
      <c r="O15" s="311"/>
      <c r="P15" s="311"/>
      <c r="Q15" s="312"/>
      <c r="R15" s="97" t="s">
        <v>40</v>
      </c>
      <c r="S15" s="97" t="s">
        <v>40</v>
      </c>
      <c r="T15" s="77" t="s">
        <v>40</v>
      </c>
      <c r="U15" s="97" t="s">
        <v>40</v>
      </c>
      <c r="V15" s="97" t="s">
        <v>40</v>
      </c>
      <c r="W15" s="76"/>
    </row>
    <row r="16" spans="2:24" s="137" customFormat="1" ht="15.75">
      <c r="B16" s="99">
        <v>5</v>
      </c>
      <c r="C16" s="138">
        <v>495624</v>
      </c>
      <c r="D16" s="76" t="s">
        <v>261</v>
      </c>
      <c r="E16" s="327" t="s">
        <v>372</v>
      </c>
      <c r="F16" s="327"/>
      <c r="G16" s="327"/>
      <c r="H16" s="327"/>
      <c r="I16" s="76" t="s">
        <v>373</v>
      </c>
      <c r="J16" s="76" t="s">
        <v>40</v>
      </c>
      <c r="K16" s="77">
        <v>46206</v>
      </c>
      <c r="L16" s="77" t="s">
        <v>40</v>
      </c>
      <c r="M16" s="77">
        <v>46206</v>
      </c>
      <c r="N16" s="328" t="s">
        <v>371</v>
      </c>
      <c r="O16" s="328"/>
      <c r="P16" s="328"/>
      <c r="Q16" s="328"/>
      <c r="R16" s="97" t="s">
        <v>40</v>
      </c>
      <c r="S16" s="97" t="s">
        <v>40</v>
      </c>
      <c r="T16" s="77" t="s">
        <v>40</v>
      </c>
      <c r="U16" s="97" t="s">
        <v>40</v>
      </c>
      <c r="V16" s="97" t="s">
        <v>40</v>
      </c>
      <c r="W16" s="76"/>
    </row>
    <row r="17" spans="1:26" s="137" customFormat="1" ht="15.75">
      <c r="B17" s="99">
        <v>6</v>
      </c>
      <c r="C17" s="138" t="s">
        <v>40</v>
      </c>
      <c r="D17" s="138" t="s">
        <v>40</v>
      </c>
      <c r="E17" s="309" t="s">
        <v>308</v>
      </c>
      <c r="F17" s="309"/>
      <c r="G17" s="309"/>
      <c r="H17" s="309"/>
      <c r="I17" s="182" t="s">
        <v>374</v>
      </c>
      <c r="J17" s="76" t="s">
        <v>40</v>
      </c>
      <c r="K17" s="77">
        <v>46298</v>
      </c>
      <c r="L17" s="77" t="s">
        <v>40</v>
      </c>
      <c r="M17" s="77">
        <v>46298</v>
      </c>
      <c r="N17" s="328" t="s">
        <v>375</v>
      </c>
      <c r="O17" s="328"/>
      <c r="P17" s="328"/>
      <c r="Q17" s="328"/>
      <c r="R17" s="97" t="s">
        <v>40</v>
      </c>
      <c r="S17" s="97" t="s">
        <v>40</v>
      </c>
      <c r="T17" s="77" t="s">
        <v>40</v>
      </c>
      <c r="U17" s="97" t="s">
        <v>40</v>
      </c>
      <c r="V17" s="97" t="s">
        <v>40</v>
      </c>
      <c r="W17" s="76"/>
    </row>
    <row r="18" spans="1:26" s="141" customFormat="1" ht="15.75">
      <c r="A18" s="140"/>
      <c r="B18" s="99">
        <v>7</v>
      </c>
      <c r="C18" s="138" t="s">
        <v>40</v>
      </c>
      <c r="D18" s="180" t="s">
        <v>376</v>
      </c>
      <c r="E18" s="309" t="s">
        <v>377</v>
      </c>
      <c r="F18" s="309"/>
      <c r="G18" s="309"/>
      <c r="H18" s="309"/>
      <c r="I18" s="182" t="s">
        <v>378</v>
      </c>
      <c r="J18" s="76" t="s">
        <v>40</v>
      </c>
      <c r="K18" s="77">
        <v>46150</v>
      </c>
      <c r="L18" s="77" t="s">
        <v>40</v>
      </c>
      <c r="M18" s="77">
        <v>46150</v>
      </c>
      <c r="N18" s="328" t="s">
        <v>375</v>
      </c>
      <c r="O18" s="328"/>
      <c r="P18" s="328"/>
      <c r="Q18" s="328"/>
      <c r="R18" s="97" t="s">
        <v>40</v>
      </c>
      <c r="S18" s="97" t="s">
        <v>40</v>
      </c>
      <c r="T18" s="77" t="s">
        <v>40</v>
      </c>
      <c r="U18" s="97" t="s">
        <v>40</v>
      </c>
      <c r="V18" s="97" t="s">
        <v>40</v>
      </c>
      <c r="W18" s="76"/>
      <c r="X18" s="76"/>
      <c r="Y18" s="76"/>
      <c r="Z18" s="76"/>
    </row>
    <row r="19" spans="1:26" s="141" customFormat="1" ht="15.75">
      <c r="A19" s="140"/>
      <c r="B19" s="99">
        <v>8</v>
      </c>
      <c r="C19" s="138" t="s">
        <v>40</v>
      </c>
      <c r="D19" s="76" t="s">
        <v>379</v>
      </c>
      <c r="E19" s="309" t="s">
        <v>380</v>
      </c>
      <c r="F19" s="309"/>
      <c r="G19" s="309"/>
      <c r="H19" s="309"/>
      <c r="I19" s="76" t="s">
        <v>381</v>
      </c>
      <c r="J19" s="76" t="s">
        <v>40</v>
      </c>
      <c r="K19" s="77" t="s">
        <v>382</v>
      </c>
      <c r="L19" s="77" t="s">
        <v>40</v>
      </c>
      <c r="M19" s="77">
        <v>46288</v>
      </c>
      <c r="N19" s="328" t="s">
        <v>375</v>
      </c>
      <c r="O19" s="328"/>
      <c r="P19" s="328"/>
      <c r="Q19" s="328"/>
      <c r="R19" s="97" t="s">
        <v>40</v>
      </c>
      <c r="S19" s="97" t="s">
        <v>40</v>
      </c>
      <c r="T19" s="77" t="s">
        <v>40</v>
      </c>
      <c r="U19" s="97" t="s">
        <v>40</v>
      </c>
      <c r="V19" s="97" t="s">
        <v>40</v>
      </c>
      <c r="W19" s="76"/>
      <c r="X19" s="76"/>
      <c r="Y19" s="76"/>
      <c r="Z19" s="76"/>
    </row>
    <row r="20" spans="1:26" s="141" customFormat="1" ht="15.75">
      <c r="A20" s="140"/>
      <c r="B20" s="99">
        <v>9</v>
      </c>
      <c r="C20" s="138" t="s">
        <v>40</v>
      </c>
      <c r="D20" s="76" t="s">
        <v>301</v>
      </c>
      <c r="E20" s="309" t="s">
        <v>302</v>
      </c>
      <c r="F20" s="309"/>
      <c r="G20" s="309"/>
      <c r="H20" s="309"/>
      <c r="I20" s="76" t="s">
        <v>383</v>
      </c>
      <c r="J20" s="76" t="s">
        <v>40</v>
      </c>
      <c r="K20" s="77">
        <v>46296</v>
      </c>
      <c r="L20" s="77" t="s">
        <v>40</v>
      </c>
      <c r="M20" s="77">
        <v>46296</v>
      </c>
      <c r="N20" s="328" t="s">
        <v>375</v>
      </c>
      <c r="O20" s="328"/>
      <c r="P20" s="328"/>
      <c r="Q20" s="328"/>
      <c r="R20" s="97" t="s">
        <v>40</v>
      </c>
      <c r="S20" s="97" t="s">
        <v>40</v>
      </c>
      <c r="T20" s="77" t="s">
        <v>40</v>
      </c>
      <c r="U20" s="97" t="s">
        <v>40</v>
      </c>
      <c r="V20" s="97" t="s">
        <v>40</v>
      </c>
      <c r="W20" s="76"/>
      <c r="X20" s="76"/>
      <c r="Y20" s="76"/>
      <c r="Z20" s="76"/>
    </row>
    <row r="21" spans="1:26" s="142" customFormat="1" ht="15.75">
      <c r="B21" s="99">
        <v>10</v>
      </c>
      <c r="C21" s="76" t="s">
        <v>40</v>
      </c>
      <c r="D21" s="76" t="s">
        <v>384</v>
      </c>
      <c r="E21" s="309" t="s">
        <v>302</v>
      </c>
      <c r="F21" s="309"/>
      <c r="G21" s="309"/>
      <c r="H21" s="309"/>
      <c r="I21" s="76" t="s">
        <v>385</v>
      </c>
      <c r="J21" s="76" t="s">
        <v>386</v>
      </c>
      <c r="K21" s="143">
        <v>46206</v>
      </c>
      <c r="L21" s="77" t="s">
        <v>40</v>
      </c>
      <c r="M21" s="144">
        <v>46207</v>
      </c>
      <c r="N21" s="328" t="s">
        <v>364</v>
      </c>
      <c r="O21" s="328"/>
      <c r="P21" s="328"/>
      <c r="Q21" s="328"/>
      <c r="R21" s="76" t="s">
        <v>40</v>
      </c>
      <c r="S21" s="76" t="s">
        <v>40</v>
      </c>
      <c r="T21" s="144" t="s">
        <v>40</v>
      </c>
      <c r="U21" s="76" t="s">
        <v>40</v>
      </c>
      <c r="V21" s="76" t="s">
        <v>40</v>
      </c>
      <c r="W21" s="76"/>
      <c r="X21" s="78"/>
      <c r="Y21" s="78" t="s">
        <v>40</v>
      </c>
      <c r="Z21" s="78" t="s">
        <v>40</v>
      </c>
    </row>
    <row r="22" spans="1:26" s="85" customFormat="1" ht="15.75">
      <c r="B22" s="99">
        <v>11</v>
      </c>
      <c r="C22" s="76" t="s">
        <v>40</v>
      </c>
      <c r="D22" s="76" t="s">
        <v>267</v>
      </c>
      <c r="E22" s="309" t="s">
        <v>387</v>
      </c>
      <c r="F22" s="309"/>
      <c r="G22" s="309"/>
      <c r="H22" s="309"/>
      <c r="I22" s="76" t="s">
        <v>388</v>
      </c>
      <c r="J22" s="76" t="s">
        <v>40</v>
      </c>
      <c r="K22" s="77">
        <v>46072</v>
      </c>
      <c r="L22" s="77" t="s">
        <v>40</v>
      </c>
      <c r="M22" s="77">
        <v>46072</v>
      </c>
      <c r="N22" s="328" t="s">
        <v>375</v>
      </c>
      <c r="O22" s="328"/>
      <c r="P22" s="328"/>
      <c r="Q22" s="328"/>
      <c r="R22" s="76" t="s">
        <v>40</v>
      </c>
      <c r="S22" s="76" t="s">
        <v>40</v>
      </c>
      <c r="T22" s="97" t="s">
        <v>40</v>
      </c>
      <c r="U22" s="76" t="s">
        <v>40</v>
      </c>
      <c r="V22" s="76" t="s">
        <v>40</v>
      </c>
      <c r="W22" s="76"/>
    </row>
    <row r="23" spans="1:26" s="85" customFormat="1" ht="15.75">
      <c r="B23" s="99">
        <v>12</v>
      </c>
      <c r="C23" s="76" t="s">
        <v>40</v>
      </c>
      <c r="D23" s="76" t="s">
        <v>40</v>
      </c>
      <c r="E23" s="316" t="s">
        <v>389</v>
      </c>
      <c r="F23" s="317"/>
      <c r="G23" s="317"/>
      <c r="H23" s="318"/>
      <c r="I23" s="76" t="s">
        <v>390</v>
      </c>
      <c r="J23" s="76" t="s">
        <v>40</v>
      </c>
      <c r="K23" s="77" t="s">
        <v>391</v>
      </c>
      <c r="L23" s="77" t="s">
        <v>40</v>
      </c>
      <c r="M23" s="77" t="s">
        <v>391</v>
      </c>
      <c r="N23" s="310" t="s">
        <v>364</v>
      </c>
      <c r="O23" s="311"/>
      <c r="P23" s="311"/>
      <c r="Q23" s="312"/>
      <c r="R23" s="76" t="s">
        <v>40</v>
      </c>
      <c r="S23" s="76" t="s">
        <v>40</v>
      </c>
      <c r="T23" s="97" t="s">
        <v>40</v>
      </c>
      <c r="U23" s="76" t="s">
        <v>40</v>
      </c>
      <c r="V23" s="76" t="s">
        <v>40</v>
      </c>
      <c r="W23" s="76"/>
    </row>
    <row r="24" spans="1:26" s="85" customFormat="1" ht="15.75">
      <c r="B24" s="99">
        <v>13</v>
      </c>
      <c r="C24" s="76" t="s">
        <v>40</v>
      </c>
      <c r="D24" s="76" t="s">
        <v>40</v>
      </c>
      <c r="E24" s="316" t="s">
        <v>306</v>
      </c>
      <c r="F24" s="317"/>
      <c r="G24" s="317"/>
      <c r="H24" s="318"/>
      <c r="I24" s="76" t="s">
        <v>392</v>
      </c>
      <c r="J24" s="76" t="s">
        <v>40</v>
      </c>
      <c r="K24" s="77">
        <v>46300</v>
      </c>
      <c r="L24" s="77" t="s">
        <v>40</v>
      </c>
      <c r="M24" s="77" t="s">
        <v>40</v>
      </c>
      <c r="N24" s="310" t="s">
        <v>364</v>
      </c>
      <c r="O24" s="311"/>
      <c r="P24" s="311"/>
      <c r="Q24" s="312"/>
      <c r="R24" s="76" t="s">
        <v>40</v>
      </c>
      <c r="S24" s="76" t="s">
        <v>40</v>
      </c>
      <c r="T24" s="97" t="s">
        <v>40</v>
      </c>
      <c r="U24" s="76" t="s">
        <v>40</v>
      </c>
      <c r="V24" s="76" t="s">
        <v>40</v>
      </c>
      <c r="W24" s="76"/>
    </row>
    <row r="25" spans="1:26" s="85" customFormat="1" ht="15.75">
      <c r="B25" s="99">
        <v>14</v>
      </c>
      <c r="C25" s="76" t="s">
        <v>40</v>
      </c>
      <c r="D25" s="76" t="s">
        <v>230</v>
      </c>
      <c r="E25" s="316" t="s">
        <v>393</v>
      </c>
      <c r="F25" s="317"/>
      <c r="G25" s="317"/>
      <c r="H25" s="318"/>
      <c r="I25" s="76" t="s">
        <v>394</v>
      </c>
      <c r="J25" s="76" t="s">
        <v>40</v>
      </c>
      <c r="K25" s="77">
        <v>46202</v>
      </c>
      <c r="L25" s="77" t="s">
        <v>40</v>
      </c>
      <c r="M25" s="77">
        <v>46203</v>
      </c>
      <c r="N25" s="310" t="s">
        <v>375</v>
      </c>
      <c r="O25" s="311"/>
      <c r="P25" s="311"/>
      <c r="Q25" s="312"/>
      <c r="R25" s="76" t="s">
        <v>40</v>
      </c>
      <c r="S25" s="76" t="s">
        <v>40</v>
      </c>
      <c r="T25" s="97" t="s">
        <v>40</v>
      </c>
      <c r="U25" s="76" t="s">
        <v>40</v>
      </c>
      <c r="V25" s="76" t="s">
        <v>40</v>
      </c>
      <c r="W25" s="76"/>
    </row>
    <row r="26" spans="1:26" s="85" customFormat="1" ht="15.75">
      <c r="B26" s="99">
        <v>15</v>
      </c>
      <c r="C26" s="76" t="s">
        <v>40</v>
      </c>
      <c r="D26" s="177" t="s">
        <v>395</v>
      </c>
      <c r="E26" s="313" t="s">
        <v>396</v>
      </c>
      <c r="F26" s="314"/>
      <c r="G26" s="314"/>
      <c r="H26" s="315"/>
      <c r="I26" s="177" t="s">
        <v>395</v>
      </c>
      <c r="J26" s="76" t="s">
        <v>40</v>
      </c>
      <c r="K26" s="145">
        <v>46116</v>
      </c>
      <c r="L26" s="94" t="s">
        <v>40</v>
      </c>
      <c r="M26" s="145">
        <v>46115</v>
      </c>
      <c r="N26" s="310" t="s">
        <v>364</v>
      </c>
      <c r="O26" s="311"/>
      <c r="P26" s="311"/>
      <c r="Q26" s="312"/>
      <c r="R26" s="76" t="s">
        <v>40</v>
      </c>
      <c r="S26" s="76" t="s">
        <v>40</v>
      </c>
      <c r="T26" s="97" t="s">
        <v>40</v>
      </c>
      <c r="U26" s="76" t="s">
        <v>40</v>
      </c>
      <c r="V26" s="76" t="s">
        <v>40</v>
      </c>
      <c r="W26" s="76"/>
    </row>
    <row r="27" spans="1:26" s="85" customFormat="1" ht="15.75">
      <c r="B27" s="99">
        <v>16</v>
      </c>
      <c r="C27" s="76" t="s">
        <v>40</v>
      </c>
      <c r="D27" s="76" t="s">
        <v>121</v>
      </c>
      <c r="E27" s="316" t="s">
        <v>122</v>
      </c>
      <c r="F27" s="317"/>
      <c r="G27" s="317"/>
      <c r="H27" s="318"/>
      <c r="I27" s="76" t="s">
        <v>397</v>
      </c>
      <c r="J27" s="76" t="s">
        <v>40</v>
      </c>
      <c r="K27" s="77">
        <v>46059</v>
      </c>
      <c r="L27" s="77" t="s">
        <v>40</v>
      </c>
      <c r="M27" s="77">
        <v>46424</v>
      </c>
      <c r="N27" s="310" t="s">
        <v>366</v>
      </c>
      <c r="O27" s="311"/>
      <c r="P27" s="311"/>
      <c r="Q27" s="312"/>
      <c r="R27" s="76" t="s">
        <v>40</v>
      </c>
      <c r="S27" s="76" t="s">
        <v>40</v>
      </c>
      <c r="T27" s="97" t="s">
        <v>40</v>
      </c>
      <c r="U27" s="76" t="s">
        <v>40</v>
      </c>
      <c r="V27" s="76" t="s">
        <v>40</v>
      </c>
      <c r="W27" s="76"/>
    </row>
    <row r="28" spans="1:26" s="85" customFormat="1" ht="15.75">
      <c r="B28" s="99">
        <v>17</v>
      </c>
      <c r="C28" s="76" t="s">
        <v>40</v>
      </c>
      <c r="D28" s="76" t="s">
        <v>126</v>
      </c>
      <c r="E28" s="316" t="s">
        <v>398</v>
      </c>
      <c r="F28" s="317"/>
      <c r="G28" s="317"/>
      <c r="H28" s="318"/>
      <c r="I28" s="76" t="s">
        <v>399</v>
      </c>
      <c r="J28" s="76" t="s">
        <v>40</v>
      </c>
      <c r="K28" s="145">
        <v>46267</v>
      </c>
      <c r="L28" s="77" t="s">
        <v>40</v>
      </c>
      <c r="M28" s="145">
        <v>46263</v>
      </c>
      <c r="N28" s="310" t="s">
        <v>364</v>
      </c>
      <c r="O28" s="311"/>
      <c r="P28" s="311"/>
      <c r="Q28" s="312"/>
      <c r="R28" s="76" t="s">
        <v>40</v>
      </c>
      <c r="S28" s="76" t="s">
        <v>40</v>
      </c>
      <c r="T28" s="97" t="s">
        <v>40</v>
      </c>
      <c r="U28" s="76" t="s">
        <v>40</v>
      </c>
      <c r="V28" s="76" t="s">
        <v>40</v>
      </c>
      <c r="W28" s="76"/>
    </row>
    <row r="29" spans="1:26" s="85" customFormat="1" ht="15.75">
      <c r="B29" s="99">
        <v>18</v>
      </c>
      <c r="C29" s="76" t="s">
        <v>40</v>
      </c>
      <c r="D29" s="76" t="s">
        <v>130</v>
      </c>
      <c r="E29" s="319" t="s">
        <v>131</v>
      </c>
      <c r="F29" s="320"/>
      <c r="G29" s="320"/>
      <c r="H29" s="321"/>
      <c r="I29" s="76" t="s">
        <v>400</v>
      </c>
      <c r="J29" s="76" t="s">
        <v>40</v>
      </c>
      <c r="K29" s="77">
        <v>46088</v>
      </c>
      <c r="L29" s="77" t="s">
        <v>40</v>
      </c>
      <c r="M29" s="77">
        <v>46453</v>
      </c>
      <c r="N29" s="310" t="s">
        <v>366</v>
      </c>
      <c r="O29" s="311"/>
      <c r="P29" s="311"/>
      <c r="Q29" s="312"/>
      <c r="R29" s="76" t="s">
        <v>40</v>
      </c>
      <c r="S29" s="76" t="s">
        <v>40</v>
      </c>
      <c r="T29" s="97" t="s">
        <v>40</v>
      </c>
      <c r="U29" s="76" t="s">
        <v>40</v>
      </c>
      <c r="V29" s="76" t="s">
        <v>40</v>
      </c>
      <c r="W29" s="76"/>
    </row>
    <row r="30" spans="1:26" s="85" customFormat="1" ht="15.75">
      <c r="B30" s="99">
        <v>19</v>
      </c>
      <c r="C30" s="76" t="s">
        <v>40</v>
      </c>
      <c r="D30" s="76" t="s">
        <v>40</v>
      </c>
      <c r="E30" s="316" t="s">
        <v>285</v>
      </c>
      <c r="F30" s="317"/>
      <c r="G30" s="317"/>
      <c r="H30" s="318"/>
      <c r="I30" s="76" t="s">
        <v>401</v>
      </c>
      <c r="J30" s="76" t="s">
        <v>40</v>
      </c>
      <c r="K30" s="169">
        <v>46204</v>
      </c>
      <c r="L30" s="77" t="s">
        <v>40</v>
      </c>
      <c r="M30" s="77" t="s">
        <v>40</v>
      </c>
      <c r="N30" s="310" t="s">
        <v>375</v>
      </c>
      <c r="O30" s="311"/>
      <c r="P30" s="311"/>
      <c r="Q30" s="312"/>
      <c r="R30" s="76" t="s">
        <v>40</v>
      </c>
      <c r="S30" s="76" t="s">
        <v>40</v>
      </c>
      <c r="T30" s="97" t="s">
        <v>40</v>
      </c>
      <c r="U30" s="76" t="s">
        <v>40</v>
      </c>
      <c r="V30" s="76" t="s">
        <v>40</v>
      </c>
      <c r="W30" s="76"/>
    </row>
    <row r="31" spans="1:26" s="85" customFormat="1" ht="15.75">
      <c r="B31" s="99">
        <v>20</v>
      </c>
      <c r="C31" s="76" t="s">
        <v>40</v>
      </c>
      <c r="D31" s="76" t="s">
        <v>269</v>
      </c>
      <c r="E31" s="316" t="s">
        <v>270</v>
      </c>
      <c r="F31" s="317"/>
      <c r="G31" s="317"/>
      <c r="H31" s="318"/>
      <c r="I31" s="76" t="s">
        <v>402</v>
      </c>
      <c r="J31" s="76" t="s">
        <v>40</v>
      </c>
      <c r="K31" s="145" t="s">
        <v>403</v>
      </c>
      <c r="L31" s="77" t="s">
        <v>40</v>
      </c>
      <c r="M31" s="77" t="s">
        <v>403</v>
      </c>
      <c r="N31" s="310" t="s">
        <v>364</v>
      </c>
      <c r="O31" s="311"/>
      <c r="P31" s="311"/>
      <c r="Q31" s="312"/>
      <c r="R31" s="76" t="s">
        <v>40</v>
      </c>
      <c r="S31" s="76" t="s">
        <v>40</v>
      </c>
      <c r="T31" s="76" t="s">
        <v>40</v>
      </c>
      <c r="U31" s="76" t="s">
        <v>40</v>
      </c>
      <c r="V31" s="76" t="s">
        <v>40</v>
      </c>
      <c r="W31" s="76"/>
    </row>
    <row r="32" spans="1:26" s="85" customFormat="1" ht="15.75">
      <c r="B32" s="99">
        <v>21</v>
      </c>
      <c r="C32" s="76" t="s">
        <v>40</v>
      </c>
      <c r="D32" s="76" t="s">
        <v>404</v>
      </c>
      <c r="E32" s="316" t="s">
        <v>405</v>
      </c>
      <c r="F32" s="317"/>
      <c r="G32" s="317"/>
      <c r="H32" s="318"/>
      <c r="I32" s="76" t="s">
        <v>40</v>
      </c>
      <c r="J32" s="76" t="s">
        <v>40</v>
      </c>
      <c r="K32" s="77" t="s">
        <v>40</v>
      </c>
      <c r="L32" s="77" t="s">
        <v>40</v>
      </c>
      <c r="M32" s="145">
        <v>45669</v>
      </c>
      <c r="N32" s="310" t="s">
        <v>364</v>
      </c>
      <c r="O32" s="311"/>
      <c r="P32" s="311"/>
      <c r="Q32" s="312"/>
      <c r="R32" s="76" t="s">
        <v>40</v>
      </c>
      <c r="S32" s="76" t="s">
        <v>40</v>
      </c>
      <c r="T32" s="76" t="s">
        <v>40</v>
      </c>
      <c r="U32" s="76" t="s">
        <v>40</v>
      </c>
      <c r="V32" s="76" t="s">
        <v>40</v>
      </c>
      <c r="W32" s="76"/>
    </row>
    <row r="33" spans="2:24" s="85" customFormat="1" ht="15.75">
      <c r="B33" s="99">
        <v>22</v>
      </c>
      <c r="C33" s="76" t="s">
        <v>40</v>
      </c>
      <c r="D33" s="76" t="s">
        <v>406</v>
      </c>
      <c r="E33" s="316" t="s">
        <v>407</v>
      </c>
      <c r="F33" s="317"/>
      <c r="G33" s="317"/>
      <c r="H33" s="318"/>
      <c r="I33" s="76" t="s">
        <v>40</v>
      </c>
      <c r="J33" s="76" t="s">
        <v>40</v>
      </c>
      <c r="K33" s="77" t="s">
        <v>40</v>
      </c>
      <c r="L33" s="77" t="s">
        <v>40</v>
      </c>
      <c r="M33" s="77">
        <v>46204</v>
      </c>
      <c r="N33" s="310" t="s">
        <v>375</v>
      </c>
      <c r="O33" s="311"/>
      <c r="P33" s="311"/>
      <c r="Q33" s="312"/>
      <c r="R33" s="76" t="s">
        <v>40</v>
      </c>
      <c r="S33" s="76" t="s">
        <v>40</v>
      </c>
      <c r="T33" s="76" t="s">
        <v>40</v>
      </c>
      <c r="U33" s="76" t="s">
        <v>40</v>
      </c>
      <c r="V33" s="76" t="s">
        <v>40</v>
      </c>
      <c r="W33" s="76"/>
      <c r="X33" s="76"/>
    </row>
    <row r="34" spans="2:24" s="85" customFormat="1" ht="24.75" customHeight="1">
      <c r="B34" s="99">
        <v>23</v>
      </c>
      <c r="C34" s="76" t="s">
        <v>40</v>
      </c>
      <c r="D34" s="76" t="s">
        <v>271</v>
      </c>
      <c r="E34" s="316" t="s">
        <v>272</v>
      </c>
      <c r="F34" s="317"/>
      <c r="G34" s="317"/>
      <c r="H34" s="318"/>
      <c r="I34" s="76">
        <v>130600159</v>
      </c>
      <c r="J34" s="76" t="s">
        <v>40</v>
      </c>
      <c r="K34" s="77">
        <v>46267</v>
      </c>
      <c r="L34" s="77" t="s">
        <v>40</v>
      </c>
      <c r="M34" s="77">
        <v>46267</v>
      </c>
      <c r="N34" s="310" t="s">
        <v>375</v>
      </c>
      <c r="O34" s="311"/>
      <c r="P34" s="311"/>
      <c r="Q34" s="312"/>
      <c r="R34" s="76" t="s">
        <v>40</v>
      </c>
      <c r="S34" s="76" t="s">
        <v>40</v>
      </c>
      <c r="T34" s="76" t="s">
        <v>40</v>
      </c>
      <c r="U34" s="76" t="s">
        <v>40</v>
      </c>
      <c r="V34" s="76" t="s">
        <v>40</v>
      </c>
      <c r="W34" s="76"/>
    </row>
    <row r="35" spans="2:24" s="85" customFormat="1" ht="24.75" hidden="1" customHeight="1">
      <c r="B35" s="99">
        <v>24</v>
      </c>
      <c r="C35" s="76" t="s">
        <v>40</v>
      </c>
      <c r="D35" s="76" t="s">
        <v>273</v>
      </c>
      <c r="E35" s="313" t="s">
        <v>408</v>
      </c>
      <c r="F35" s="314"/>
      <c r="G35" s="314"/>
      <c r="H35" s="315"/>
      <c r="I35" s="177" t="s">
        <v>409</v>
      </c>
      <c r="J35" s="177" t="s">
        <v>40</v>
      </c>
      <c r="K35" s="146" t="s">
        <v>410</v>
      </c>
      <c r="L35" s="94" t="s">
        <v>40</v>
      </c>
      <c r="M35" s="77" t="s">
        <v>40</v>
      </c>
      <c r="N35" s="310" t="s">
        <v>375</v>
      </c>
      <c r="O35" s="311"/>
      <c r="P35" s="311"/>
      <c r="Q35" s="312"/>
      <c r="R35" s="76" t="s">
        <v>40</v>
      </c>
      <c r="S35" s="76" t="s">
        <v>40</v>
      </c>
      <c r="T35" s="76" t="s">
        <v>40</v>
      </c>
      <c r="U35" s="76" t="s">
        <v>40</v>
      </c>
      <c r="V35" s="76" t="s">
        <v>40</v>
      </c>
      <c r="W35" s="97"/>
    </row>
    <row r="36" spans="2:24" s="85" customFormat="1" ht="24.75" hidden="1" customHeight="1">
      <c r="B36" s="99">
        <v>25</v>
      </c>
      <c r="C36" s="76" t="s">
        <v>40</v>
      </c>
      <c r="D36" s="76" t="s">
        <v>298</v>
      </c>
      <c r="E36" s="313" t="s">
        <v>299</v>
      </c>
      <c r="F36" s="314"/>
      <c r="G36" s="314"/>
      <c r="H36" s="315"/>
      <c r="I36" s="76" t="s">
        <v>40</v>
      </c>
      <c r="J36" s="76" t="s">
        <v>40</v>
      </c>
      <c r="K36" s="94" t="s">
        <v>40</v>
      </c>
      <c r="L36" s="94" t="s">
        <v>40</v>
      </c>
      <c r="M36" s="77">
        <v>46128</v>
      </c>
      <c r="N36" s="310" t="s">
        <v>364</v>
      </c>
      <c r="O36" s="311"/>
      <c r="P36" s="311"/>
      <c r="Q36" s="312"/>
      <c r="R36" s="76" t="s">
        <v>40</v>
      </c>
      <c r="S36" s="76" t="s">
        <v>40</v>
      </c>
      <c r="T36" s="76" t="s">
        <v>40</v>
      </c>
      <c r="U36" s="76" t="s">
        <v>40</v>
      </c>
      <c r="V36" s="76" t="s">
        <v>40</v>
      </c>
      <c r="W36" s="97"/>
    </row>
    <row r="37" spans="2:24" s="85" customFormat="1" ht="15.6" hidden="1">
      <c r="B37" s="99">
        <v>26</v>
      </c>
      <c r="C37" s="76" t="s">
        <v>40</v>
      </c>
      <c r="D37" s="76" t="s">
        <v>40</v>
      </c>
      <c r="E37" s="313" t="s">
        <v>411</v>
      </c>
      <c r="F37" s="314"/>
      <c r="G37" s="314"/>
      <c r="H37" s="315"/>
      <c r="I37" s="177" t="s">
        <v>412</v>
      </c>
      <c r="J37" s="177" t="s">
        <v>40</v>
      </c>
      <c r="K37" s="145">
        <v>46157</v>
      </c>
      <c r="L37" s="77" t="s">
        <v>40</v>
      </c>
      <c r="M37" s="77" t="s">
        <v>40</v>
      </c>
      <c r="N37" s="310" t="s">
        <v>413</v>
      </c>
      <c r="O37" s="311"/>
      <c r="P37" s="311"/>
      <c r="Q37" s="312"/>
      <c r="R37" s="76" t="s">
        <v>40</v>
      </c>
      <c r="S37" s="76" t="s">
        <v>40</v>
      </c>
      <c r="T37" s="97" t="s">
        <v>40</v>
      </c>
      <c r="U37" s="76" t="s">
        <v>40</v>
      </c>
      <c r="V37" s="76" t="s">
        <v>40</v>
      </c>
      <c r="W37" s="76"/>
    </row>
    <row r="38" spans="2:24" s="85" customFormat="1" ht="15.6" hidden="1">
      <c r="B38" s="99">
        <v>27</v>
      </c>
      <c r="C38" s="76" t="s">
        <v>40</v>
      </c>
      <c r="D38" s="76" t="s">
        <v>40</v>
      </c>
      <c r="E38" s="313" t="s">
        <v>411</v>
      </c>
      <c r="F38" s="314"/>
      <c r="G38" s="314"/>
      <c r="H38" s="315"/>
      <c r="I38" s="177" t="s">
        <v>414</v>
      </c>
      <c r="J38" s="177" t="s">
        <v>40</v>
      </c>
      <c r="K38" s="145">
        <v>46094</v>
      </c>
      <c r="L38" s="94" t="s">
        <v>40</v>
      </c>
      <c r="M38" s="94" t="s">
        <v>40</v>
      </c>
      <c r="N38" s="310" t="s">
        <v>413</v>
      </c>
      <c r="O38" s="311"/>
      <c r="P38" s="311"/>
      <c r="Q38" s="312"/>
      <c r="R38" s="76" t="s">
        <v>40</v>
      </c>
      <c r="S38" s="76" t="s">
        <v>40</v>
      </c>
      <c r="T38" s="97" t="s">
        <v>40</v>
      </c>
      <c r="U38" s="76" t="s">
        <v>40</v>
      </c>
      <c r="V38" s="76" t="s">
        <v>40</v>
      </c>
      <c r="W38" s="76"/>
    </row>
    <row r="39" spans="2:24" s="85" customFormat="1" ht="15.6" hidden="1">
      <c r="B39" s="99">
        <v>28</v>
      </c>
      <c r="C39" s="76" t="s">
        <v>40</v>
      </c>
      <c r="D39" s="76" t="s">
        <v>40</v>
      </c>
      <c r="E39" s="313" t="s">
        <v>411</v>
      </c>
      <c r="F39" s="314"/>
      <c r="G39" s="314"/>
      <c r="H39" s="315"/>
      <c r="I39" s="177" t="s">
        <v>415</v>
      </c>
      <c r="J39" s="177" t="s">
        <v>40</v>
      </c>
      <c r="K39" s="145">
        <v>46094</v>
      </c>
      <c r="L39" s="77" t="s">
        <v>40</v>
      </c>
      <c r="M39" s="77" t="s">
        <v>40</v>
      </c>
      <c r="N39" s="310" t="s">
        <v>413</v>
      </c>
      <c r="O39" s="311"/>
      <c r="P39" s="311"/>
      <c r="Q39" s="312"/>
      <c r="R39" s="76" t="s">
        <v>40</v>
      </c>
      <c r="S39" s="76" t="s">
        <v>40</v>
      </c>
      <c r="T39" s="97" t="s">
        <v>40</v>
      </c>
      <c r="U39" s="76" t="s">
        <v>40</v>
      </c>
      <c r="V39" s="76" t="s">
        <v>40</v>
      </c>
      <c r="W39" s="76"/>
    </row>
    <row r="40" spans="2:24" s="85" customFormat="1" ht="15.6" hidden="1">
      <c r="B40" s="99">
        <v>29</v>
      </c>
      <c r="C40" s="76" t="s">
        <v>40</v>
      </c>
      <c r="D40" s="76" t="s">
        <v>40</v>
      </c>
      <c r="E40" s="313" t="s">
        <v>411</v>
      </c>
      <c r="F40" s="314"/>
      <c r="G40" s="314"/>
      <c r="H40" s="315"/>
      <c r="I40" s="177" t="s">
        <v>416</v>
      </c>
      <c r="J40" s="177" t="s">
        <v>40</v>
      </c>
      <c r="K40" s="145">
        <v>46157</v>
      </c>
      <c r="L40" s="77" t="s">
        <v>40</v>
      </c>
      <c r="M40" s="77" t="s">
        <v>40</v>
      </c>
      <c r="N40" s="310" t="s">
        <v>413</v>
      </c>
      <c r="O40" s="311"/>
      <c r="P40" s="311"/>
      <c r="Q40" s="312"/>
      <c r="R40" s="76" t="s">
        <v>40</v>
      </c>
      <c r="S40" s="76" t="s">
        <v>40</v>
      </c>
      <c r="T40" s="97" t="s">
        <v>40</v>
      </c>
      <c r="U40" s="76" t="s">
        <v>40</v>
      </c>
      <c r="V40" s="76" t="s">
        <v>40</v>
      </c>
      <c r="W40" s="76"/>
    </row>
    <row r="41" spans="2:24" s="85" customFormat="1" ht="15.6" hidden="1">
      <c r="B41" s="99">
        <v>30</v>
      </c>
      <c r="C41" s="76" t="s">
        <v>40</v>
      </c>
      <c r="D41" s="76" t="s">
        <v>40</v>
      </c>
      <c r="E41" s="313" t="s">
        <v>411</v>
      </c>
      <c r="F41" s="314"/>
      <c r="G41" s="314"/>
      <c r="H41" s="315"/>
      <c r="I41" s="177" t="s">
        <v>417</v>
      </c>
      <c r="J41" s="177" t="s">
        <v>40</v>
      </c>
      <c r="K41" s="145">
        <v>46157</v>
      </c>
      <c r="L41" s="94" t="s">
        <v>40</v>
      </c>
      <c r="M41" s="94" t="s">
        <v>40</v>
      </c>
      <c r="N41" s="310" t="s">
        <v>413</v>
      </c>
      <c r="O41" s="311"/>
      <c r="P41" s="311"/>
      <c r="Q41" s="312"/>
      <c r="R41" s="76" t="s">
        <v>40</v>
      </c>
      <c r="S41" s="76" t="s">
        <v>40</v>
      </c>
      <c r="T41" s="97" t="s">
        <v>40</v>
      </c>
      <c r="U41" s="76" t="s">
        <v>40</v>
      </c>
      <c r="V41" s="76" t="s">
        <v>40</v>
      </c>
      <c r="W41" s="76"/>
    </row>
    <row r="42" spans="2:24" s="85" customFormat="1" ht="15.6" hidden="1">
      <c r="B42" s="99">
        <v>31</v>
      </c>
      <c r="C42" s="76" t="s">
        <v>40</v>
      </c>
      <c r="D42" s="76" t="s">
        <v>40</v>
      </c>
      <c r="E42" s="313" t="s">
        <v>411</v>
      </c>
      <c r="F42" s="314"/>
      <c r="G42" s="314"/>
      <c r="H42" s="315"/>
      <c r="I42" s="177" t="s">
        <v>418</v>
      </c>
      <c r="J42" s="177" t="s">
        <v>40</v>
      </c>
      <c r="K42" s="146" t="s">
        <v>419</v>
      </c>
      <c r="L42" s="77" t="s">
        <v>40</v>
      </c>
      <c r="M42" s="94" t="s">
        <v>40</v>
      </c>
      <c r="N42" s="310" t="s">
        <v>413</v>
      </c>
      <c r="O42" s="311"/>
      <c r="P42" s="311"/>
      <c r="Q42" s="312"/>
      <c r="R42" s="76" t="s">
        <v>40</v>
      </c>
      <c r="S42" s="76" t="s">
        <v>40</v>
      </c>
      <c r="T42" s="97" t="s">
        <v>40</v>
      </c>
      <c r="U42" s="76" t="s">
        <v>40</v>
      </c>
      <c r="V42" s="76" t="s">
        <v>40</v>
      </c>
      <c r="W42" s="76"/>
    </row>
    <row r="43" spans="2:24" s="85" customFormat="1" ht="15.6" hidden="1">
      <c r="B43" s="99">
        <v>32</v>
      </c>
      <c r="C43" s="76" t="s">
        <v>40</v>
      </c>
      <c r="D43" s="76" t="s">
        <v>40</v>
      </c>
      <c r="E43" s="313" t="s">
        <v>411</v>
      </c>
      <c r="F43" s="314"/>
      <c r="G43" s="314"/>
      <c r="H43" s="315"/>
      <c r="I43" s="177" t="s">
        <v>420</v>
      </c>
      <c r="J43" s="177" t="s">
        <v>40</v>
      </c>
      <c r="K43" s="146" t="s">
        <v>419</v>
      </c>
      <c r="L43" s="77" t="s">
        <v>40</v>
      </c>
      <c r="M43" s="77" t="s">
        <v>40</v>
      </c>
      <c r="N43" s="310" t="s">
        <v>413</v>
      </c>
      <c r="O43" s="311"/>
      <c r="P43" s="311"/>
      <c r="Q43" s="312"/>
      <c r="R43" s="76" t="s">
        <v>40</v>
      </c>
      <c r="S43" s="76" t="s">
        <v>40</v>
      </c>
      <c r="T43" s="97" t="s">
        <v>40</v>
      </c>
      <c r="U43" s="76" t="s">
        <v>40</v>
      </c>
      <c r="V43" s="76" t="s">
        <v>40</v>
      </c>
      <c r="W43" s="76"/>
    </row>
    <row r="44" spans="2:24" s="85" customFormat="1" ht="15.6" hidden="1">
      <c r="B44" s="99">
        <v>33</v>
      </c>
      <c r="C44" s="76" t="s">
        <v>40</v>
      </c>
      <c r="D44" s="76" t="s">
        <v>40</v>
      </c>
      <c r="E44" s="313" t="s">
        <v>411</v>
      </c>
      <c r="F44" s="314"/>
      <c r="G44" s="314"/>
      <c r="H44" s="315"/>
      <c r="I44" s="177" t="s">
        <v>421</v>
      </c>
      <c r="J44" s="177" t="s">
        <v>40</v>
      </c>
      <c r="K44" s="146" t="s">
        <v>419</v>
      </c>
      <c r="L44" s="94" t="s">
        <v>40</v>
      </c>
      <c r="M44" s="77" t="s">
        <v>40</v>
      </c>
      <c r="N44" s="310" t="s">
        <v>413</v>
      </c>
      <c r="O44" s="311"/>
      <c r="P44" s="311"/>
      <c r="Q44" s="312"/>
      <c r="R44" s="76" t="s">
        <v>40</v>
      </c>
      <c r="S44" s="76" t="s">
        <v>40</v>
      </c>
      <c r="T44" s="97" t="s">
        <v>40</v>
      </c>
      <c r="U44" s="76" t="s">
        <v>40</v>
      </c>
      <c r="V44" s="76" t="s">
        <v>40</v>
      </c>
      <c r="W44" s="76"/>
    </row>
    <row r="45" spans="2:24" s="85" customFormat="1" ht="15.6" hidden="1">
      <c r="B45" s="99">
        <v>34</v>
      </c>
      <c r="C45" s="76" t="s">
        <v>40</v>
      </c>
      <c r="D45" s="76" t="s">
        <v>40</v>
      </c>
      <c r="E45" s="313" t="s">
        <v>411</v>
      </c>
      <c r="F45" s="314"/>
      <c r="G45" s="314"/>
      <c r="H45" s="315"/>
      <c r="I45" s="177" t="s">
        <v>422</v>
      </c>
      <c r="J45" s="177" t="s">
        <v>40</v>
      </c>
      <c r="K45" s="146" t="s">
        <v>419</v>
      </c>
      <c r="L45" s="77" t="s">
        <v>40</v>
      </c>
      <c r="M45" s="94" t="s">
        <v>40</v>
      </c>
      <c r="N45" s="310" t="s">
        <v>413</v>
      </c>
      <c r="O45" s="311"/>
      <c r="P45" s="311"/>
      <c r="Q45" s="312"/>
      <c r="R45" s="76" t="s">
        <v>40</v>
      </c>
      <c r="S45" s="76" t="s">
        <v>40</v>
      </c>
      <c r="T45" s="97" t="s">
        <v>40</v>
      </c>
      <c r="U45" s="76" t="s">
        <v>40</v>
      </c>
      <c r="V45" s="76" t="s">
        <v>40</v>
      </c>
      <c r="W45" s="76"/>
    </row>
    <row r="46" spans="2:24" s="85" customFormat="1" ht="15.6" hidden="1">
      <c r="B46" s="99">
        <v>35</v>
      </c>
      <c r="C46" s="76" t="s">
        <v>40</v>
      </c>
      <c r="D46" s="76" t="s">
        <v>40</v>
      </c>
      <c r="E46" s="313" t="s">
        <v>411</v>
      </c>
      <c r="F46" s="314"/>
      <c r="G46" s="314"/>
      <c r="H46" s="315"/>
      <c r="I46" s="177" t="s">
        <v>423</v>
      </c>
      <c r="J46" s="177" t="s">
        <v>40</v>
      </c>
      <c r="K46" s="146" t="s">
        <v>419</v>
      </c>
      <c r="L46" s="77" t="s">
        <v>40</v>
      </c>
      <c r="M46" s="77" t="s">
        <v>40</v>
      </c>
      <c r="N46" s="310" t="s">
        <v>413</v>
      </c>
      <c r="O46" s="311"/>
      <c r="P46" s="311"/>
      <c r="Q46" s="312"/>
      <c r="R46" s="76" t="s">
        <v>40</v>
      </c>
      <c r="S46" s="76" t="s">
        <v>40</v>
      </c>
      <c r="T46" s="97" t="s">
        <v>40</v>
      </c>
      <c r="U46" s="76" t="s">
        <v>40</v>
      </c>
      <c r="V46" s="76" t="s">
        <v>40</v>
      </c>
      <c r="W46" s="76"/>
    </row>
    <row r="47" spans="2:24" s="85" customFormat="1" ht="15.6" hidden="1">
      <c r="B47" s="99">
        <v>36</v>
      </c>
      <c r="C47" s="76" t="s">
        <v>40</v>
      </c>
      <c r="D47" s="76" t="s">
        <v>40</v>
      </c>
      <c r="E47" s="313" t="s">
        <v>411</v>
      </c>
      <c r="F47" s="314"/>
      <c r="G47" s="314"/>
      <c r="H47" s="315"/>
      <c r="I47" s="177" t="s">
        <v>424</v>
      </c>
      <c r="J47" s="177" t="s">
        <v>40</v>
      </c>
      <c r="K47" s="146" t="s">
        <v>419</v>
      </c>
      <c r="L47" s="94" t="s">
        <v>40</v>
      </c>
      <c r="M47" s="77" t="s">
        <v>40</v>
      </c>
      <c r="N47" s="310" t="s">
        <v>413</v>
      </c>
      <c r="O47" s="311"/>
      <c r="P47" s="311"/>
      <c r="Q47" s="312"/>
      <c r="R47" s="76" t="s">
        <v>40</v>
      </c>
      <c r="S47" s="76" t="s">
        <v>40</v>
      </c>
      <c r="T47" s="97" t="s">
        <v>40</v>
      </c>
      <c r="U47" s="76" t="s">
        <v>40</v>
      </c>
      <c r="V47" s="76" t="s">
        <v>40</v>
      </c>
      <c r="W47" s="76"/>
    </row>
    <row r="48" spans="2:24" s="85" customFormat="1" ht="15.6" hidden="1">
      <c r="B48" s="99">
        <v>37</v>
      </c>
      <c r="C48" s="76" t="s">
        <v>40</v>
      </c>
      <c r="D48" s="76" t="s">
        <v>40</v>
      </c>
      <c r="E48" s="313" t="s">
        <v>411</v>
      </c>
      <c r="F48" s="314"/>
      <c r="G48" s="314"/>
      <c r="H48" s="315"/>
      <c r="I48" s="177" t="s">
        <v>425</v>
      </c>
      <c r="J48" s="177" t="s">
        <v>40</v>
      </c>
      <c r="K48" s="146" t="s">
        <v>419</v>
      </c>
      <c r="L48" s="77" t="s">
        <v>40</v>
      </c>
      <c r="M48" s="94" t="s">
        <v>40</v>
      </c>
      <c r="N48" s="310" t="s">
        <v>413</v>
      </c>
      <c r="O48" s="311"/>
      <c r="P48" s="311"/>
      <c r="Q48" s="312"/>
      <c r="R48" s="76" t="s">
        <v>40</v>
      </c>
      <c r="S48" s="76" t="s">
        <v>40</v>
      </c>
      <c r="T48" s="97" t="s">
        <v>40</v>
      </c>
      <c r="U48" s="76" t="s">
        <v>40</v>
      </c>
      <c r="V48" s="76" t="s">
        <v>40</v>
      </c>
      <c r="W48" s="76"/>
    </row>
    <row r="49" spans="2:23" s="85" customFormat="1" ht="15.6" hidden="1">
      <c r="B49" s="99">
        <v>38</v>
      </c>
      <c r="C49" s="76" t="s">
        <v>40</v>
      </c>
      <c r="D49" s="76" t="s">
        <v>40</v>
      </c>
      <c r="E49" s="313" t="s">
        <v>411</v>
      </c>
      <c r="F49" s="314"/>
      <c r="G49" s="314"/>
      <c r="H49" s="315"/>
      <c r="I49" s="177" t="s">
        <v>426</v>
      </c>
      <c r="J49" s="177" t="s">
        <v>40</v>
      </c>
      <c r="K49" s="146" t="s">
        <v>419</v>
      </c>
      <c r="L49" s="77" t="s">
        <v>40</v>
      </c>
      <c r="M49" s="94" t="s">
        <v>40</v>
      </c>
      <c r="N49" s="310" t="s">
        <v>413</v>
      </c>
      <c r="O49" s="311"/>
      <c r="P49" s="311"/>
      <c r="Q49" s="312"/>
      <c r="R49" s="76" t="s">
        <v>40</v>
      </c>
      <c r="S49" s="76" t="s">
        <v>40</v>
      </c>
      <c r="T49" s="97" t="s">
        <v>40</v>
      </c>
      <c r="U49" s="76" t="s">
        <v>40</v>
      </c>
      <c r="V49" s="76" t="s">
        <v>40</v>
      </c>
      <c r="W49" s="76"/>
    </row>
    <row r="50" spans="2:23" s="85" customFormat="1" ht="15.6" hidden="1">
      <c r="B50" s="99">
        <v>39</v>
      </c>
      <c r="C50" s="76" t="s">
        <v>40</v>
      </c>
      <c r="D50" s="76" t="s">
        <v>40</v>
      </c>
      <c r="E50" s="313" t="s">
        <v>411</v>
      </c>
      <c r="F50" s="314"/>
      <c r="G50" s="314"/>
      <c r="H50" s="315"/>
      <c r="I50" s="177" t="s">
        <v>427</v>
      </c>
      <c r="J50" s="177" t="s">
        <v>40</v>
      </c>
      <c r="K50" s="145">
        <v>46049</v>
      </c>
      <c r="L50" s="94" t="s">
        <v>40</v>
      </c>
      <c r="M50" s="77" t="s">
        <v>40</v>
      </c>
      <c r="N50" s="310" t="s">
        <v>413</v>
      </c>
      <c r="O50" s="311"/>
      <c r="P50" s="311"/>
      <c r="Q50" s="312"/>
      <c r="R50" s="76" t="s">
        <v>40</v>
      </c>
      <c r="S50" s="76" t="s">
        <v>40</v>
      </c>
      <c r="T50" s="97" t="s">
        <v>40</v>
      </c>
      <c r="U50" s="76" t="s">
        <v>40</v>
      </c>
      <c r="V50" s="76" t="s">
        <v>40</v>
      </c>
      <c r="W50" s="76"/>
    </row>
    <row r="51" spans="2:23" s="85" customFormat="1" ht="15.6" hidden="1">
      <c r="B51" s="99">
        <v>40</v>
      </c>
      <c r="C51" s="76" t="s">
        <v>40</v>
      </c>
      <c r="D51" s="76" t="s">
        <v>40</v>
      </c>
      <c r="E51" s="313" t="s">
        <v>411</v>
      </c>
      <c r="F51" s="314"/>
      <c r="G51" s="314"/>
      <c r="H51" s="315"/>
      <c r="I51" s="177" t="s">
        <v>428</v>
      </c>
      <c r="J51" s="177" t="s">
        <v>40</v>
      </c>
      <c r="K51" s="145">
        <v>45986</v>
      </c>
      <c r="L51" s="77" t="s">
        <v>40</v>
      </c>
      <c r="M51" s="77" t="s">
        <v>40</v>
      </c>
      <c r="N51" s="310" t="s">
        <v>413</v>
      </c>
      <c r="O51" s="311"/>
      <c r="P51" s="311"/>
      <c r="Q51" s="312"/>
      <c r="R51" s="76" t="s">
        <v>40</v>
      </c>
      <c r="S51" s="76" t="s">
        <v>40</v>
      </c>
      <c r="T51" s="97" t="s">
        <v>40</v>
      </c>
      <c r="U51" s="76" t="s">
        <v>40</v>
      </c>
      <c r="V51" s="76" t="s">
        <v>40</v>
      </c>
      <c r="W51" s="76"/>
    </row>
    <row r="52" spans="2:23" s="85" customFormat="1" ht="15.6" hidden="1">
      <c r="B52" s="99">
        <v>41</v>
      </c>
      <c r="C52" s="76" t="s">
        <v>40</v>
      </c>
      <c r="D52" s="76" t="s">
        <v>40</v>
      </c>
      <c r="E52" s="313" t="s">
        <v>411</v>
      </c>
      <c r="F52" s="314"/>
      <c r="G52" s="314"/>
      <c r="H52" s="315"/>
      <c r="I52" s="177" t="s">
        <v>429</v>
      </c>
      <c r="J52" s="177" t="s">
        <v>40</v>
      </c>
      <c r="K52" s="145">
        <v>46094</v>
      </c>
      <c r="L52" s="77" t="s">
        <v>40</v>
      </c>
      <c r="M52" s="94" t="s">
        <v>40</v>
      </c>
      <c r="N52" s="310" t="s">
        <v>413</v>
      </c>
      <c r="O52" s="311"/>
      <c r="P52" s="311"/>
      <c r="Q52" s="312"/>
      <c r="R52" s="76" t="s">
        <v>40</v>
      </c>
      <c r="S52" s="76" t="s">
        <v>40</v>
      </c>
      <c r="T52" s="97" t="s">
        <v>40</v>
      </c>
      <c r="U52" s="76" t="s">
        <v>40</v>
      </c>
      <c r="V52" s="76" t="s">
        <v>40</v>
      </c>
      <c r="W52" s="76"/>
    </row>
    <row r="53" spans="2:23" s="85" customFormat="1" ht="15.6" hidden="1">
      <c r="B53" s="99">
        <v>42</v>
      </c>
      <c r="C53" s="76" t="s">
        <v>40</v>
      </c>
      <c r="D53" s="76" t="s">
        <v>40</v>
      </c>
      <c r="E53" s="313" t="s">
        <v>411</v>
      </c>
      <c r="F53" s="314"/>
      <c r="G53" s="314"/>
      <c r="H53" s="315"/>
      <c r="I53" s="177" t="s">
        <v>430</v>
      </c>
      <c r="J53" s="177" t="s">
        <v>40</v>
      </c>
      <c r="K53" s="145">
        <v>46157</v>
      </c>
      <c r="L53" s="94" t="s">
        <v>40</v>
      </c>
      <c r="M53" s="77" t="s">
        <v>40</v>
      </c>
      <c r="N53" s="310" t="s">
        <v>413</v>
      </c>
      <c r="O53" s="311"/>
      <c r="P53" s="311"/>
      <c r="Q53" s="312"/>
      <c r="R53" s="76" t="s">
        <v>40</v>
      </c>
      <c r="S53" s="76" t="s">
        <v>40</v>
      </c>
      <c r="T53" s="97" t="s">
        <v>40</v>
      </c>
      <c r="U53" s="76" t="s">
        <v>40</v>
      </c>
      <c r="V53" s="76" t="s">
        <v>40</v>
      </c>
      <c r="W53" s="76"/>
    </row>
    <row r="54" spans="2:23" s="85" customFormat="1" ht="15.6" hidden="1">
      <c r="B54" s="99">
        <v>43</v>
      </c>
      <c r="C54" s="76" t="s">
        <v>40</v>
      </c>
      <c r="D54" s="76" t="s">
        <v>40</v>
      </c>
      <c r="E54" s="313" t="s">
        <v>411</v>
      </c>
      <c r="F54" s="314"/>
      <c r="G54" s="314"/>
      <c r="H54" s="315"/>
      <c r="I54" s="177" t="s">
        <v>431</v>
      </c>
      <c r="J54" s="177" t="s">
        <v>40</v>
      </c>
      <c r="K54" s="146" t="s">
        <v>419</v>
      </c>
      <c r="L54" s="77" t="s">
        <v>40</v>
      </c>
      <c r="M54" s="77" t="s">
        <v>40</v>
      </c>
      <c r="N54" s="310" t="s">
        <v>413</v>
      </c>
      <c r="O54" s="311"/>
      <c r="P54" s="311"/>
      <c r="Q54" s="312"/>
      <c r="R54" s="76" t="s">
        <v>40</v>
      </c>
      <c r="S54" s="76" t="s">
        <v>40</v>
      </c>
      <c r="T54" s="97" t="s">
        <v>40</v>
      </c>
      <c r="U54" s="76" t="s">
        <v>40</v>
      </c>
      <c r="V54" s="76" t="s">
        <v>40</v>
      </c>
      <c r="W54" s="76"/>
    </row>
    <row r="55" spans="2:23" s="85" customFormat="1" ht="15.6" hidden="1">
      <c r="B55" s="99">
        <v>44</v>
      </c>
      <c r="C55" s="76" t="s">
        <v>40</v>
      </c>
      <c r="D55" s="76" t="s">
        <v>40</v>
      </c>
      <c r="E55" s="313" t="s">
        <v>411</v>
      </c>
      <c r="F55" s="314"/>
      <c r="G55" s="314"/>
      <c r="H55" s="315"/>
      <c r="I55" s="177" t="s">
        <v>432</v>
      </c>
      <c r="J55" s="177" t="s">
        <v>40</v>
      </c>
      <c r="K55" s="147">
        <v>45980</v>
      </c>
      <c r="L55" s="77" t="s">
        <v>40</v>
      </c>
      <c r="M55" s="94" t="s">
        <v>40</v>
      </c>
      <c r="N55" s="310" t="s">
        <v>413</v>
      </c>
      <c r="O55" s="311"/>
      <c r="P55" s="311"/>
      <c r="Q55" s="312"/>
      <c r="R55" s="76" t="s">
        <v>40</v>
      </c>
      <c r="S55" s="76" t="s">
        <v>40</v>
      </c>
      <c r="T55" s="97" t="s">
        <v>40</v>
      </c>
      <c r="U55" s="76" t="s">
        <v>40</v>
      </c>
      <c r="V55" s="76" t="s">
        <v>40</v>
      </c>
      <c r="W55" s="76"/>
    </row>
    <row r="56" spans="2:23" s="85" customFormat="1" ht="15.6" hidden="1">
      <c r="B56" s="99">
        <v>45</v>
      </c>
      <c r="C56" s="76" t="s">
        <v>40</v>
      </c>
      <c r="D56" s="76" t="s">
        <v>40</v>
      </c>
      <c r="E56" s="313" t="s">
        <v>411</v>
      </c>
      <c r="F56" s="314"/>
      <c r="G56" s="314"/>
      <c r="H56" s="315"/>
      <c r="I56" s="177" t="s">
        <v>433</v>
      </c>
      <c r="J56" s="177" t="s">
        <v>40</v>
      </c>
      <c r="K56" s="145">
        <v>46094</v>
      </c>
      <c r="L56" s="94" t="s">
        <v>40</v>
      </c>
      <c r="M56" s="94" t="s">
        <v>40</v>
      </c>
      <c r="N56" s="310" t="s">
        <v>413</v>
      </c>
      <c r="O56" s="311"/>
      <c r="P56" s="311"/>
      <c r="Q56" s="312"/>
      <c r="R56" s="76" t="s">
        <v>40</v>
      </c>
      <c r="S56" s="76" t="s">
        <v>40</v>
      </c>
      <c r="T56" s="97" t="s">
        <v>40</v>
      </c>
      <c r="U56" s="76" t="s">
        <v>40</v>
      </c>
      <c r="V56" s="76" t="s">
        <v>40</v>
      </c>
      <c r="W56" s="76"/>
    </row>
    <row r="57" spans="2:23" s="85" customFormat="1" ht="15.6" hidden="1">
      <c r="B57" s="99">
        <v>46</v>
      </c>
      <c r="C57" s="76" t="s">
        <v>40</v>
      </c>
      <c r="D57" s="76" t="s">
        <v>40</v>
      </c>
      <c r="E57" s="313" t="s">
        <v>411</v>
      </c>
      <c r="F57" s="314"/>
      <c r="G57" s="314"/>
      <c r="H57" s="315"/>
      <c r="I57" s="177" t="s">
        <v>434</v>
      </c>
      <c r="J57" s="177" t="s">
        <v>40</v>
      </c>
      <c r="K57" s="145">
        <v>46179</v>
      </c>
      <c r="L57" s="77" t="s">
        <v>40</v>
      </c>
      <c r="M57" s="77" t="s">
        <v>40</v>
      </c>
      <c r="N57" s="310" t="s">
        <v>413</v>
      </c>
      <c r="O57" s="311"/>
      <c r="P57" s="311"/>
      <c r="Q57" s="312"/>
      <c r="R57" s="76" t="s">
        <v>40</v>
      </c>
      <c r="S57" s="76" t="s">
        <v>40</v>
      </c>
      <c r="T57" s="97" t="s">
        <v>40</v>
      </c>
      <c r="U57" s="76" t="s">
        <v>40</v>
      </c>
      <c r="V57" s="76" t="s">
        <v>40</v>
      </c>
      <c r="W57" s="76"/>
    </row>
    <row r="58" spans="2:23" s="85" customFormat="1" ht="15.6" hidden="1">
      <c r="B58" s="99">
        <v>47</v>
      </c>
      <c r="C58" s="76" t="s">
        <v>40</v>
      </c>
      <c r="D58" s="76" t="s">
        <v>40</v>
      </c>
      <c r="E58" s="313" t="s">
        <v>411</v>
      </c>
      <c r="F58" s="314"/>
      <c r="G58" s="314"/>
      <c r="H58" s="315"/>
      <c r="I58" s="177" t="s">
        <v>435</v>
      </c>
      <c r="J58" s="177" t="s">
        <v>40</v>
      </c>
      <c r="K58" s="146" t="s">
        <v>436</v>
      </c>
      <c r="L58" s="77" t="s">
        <v>40</v>
      </c>
      <c r="M58" s="77" t="s">
        <v>40</v>
      </c>
      <c r="N58" s="310" t="s">
        <v>413</v>
      </c>
      <c r="O58" s="311"/>
      <c r="P58" s="311"/>
      <c r="Q58" s="312"/>
      <c r="R58" s="76" t="s">
        <v>40</v>
      </c>
      <c r="S58" s="76" t="s">
        <v>40</v>
      </c>
      <c r="T58" s="97" t="s">
        <v>40</v>
      </c>
      <c r="U58" s="76" t="s">
        <v>40</v>
      </c>
      <c r="V58" s="76" t="s">
        <v>40</v>
      </c>
      <c r="W58" s="76"/>
    </row>
    <row r="59" spans="2:23" s="85" customFormat="1" ht="15.6" hidden="1">
      <c r="B59" s="99">
        <v>48</v>
      </c>
      <c r="C59" s="76" t="s">
        <v>40</v>
      </c>
      <c r="D59" s="76" t="s">
        <v>40</v>
      </c>
      <c r="E59" s="313" t="s">
        <v>411</v>
      </c>
      <c r="F59" s="314"/>
      <c r="G59" s="314"/>
      <c r="H59" s="315"/>
      <c r="I59" s="177" t="s">
        <v>437</v>
      </c>
      <c r="J59" s="177" t="s">
        <v>40</v>
      </c>
      <c r="K59" s="145">
        <v>46179</v>
      </c>
      <c r="L59" s="94" t="s">
        <v>40</v>
      </c>
      <c r="M59" s="94" t="s">
        <v>40</v>
      </c>
      <c r="N59" s="310" t="s">
        <v>413</v>
      </c>
      <c r="O59" s="311"/>
      <c r="P59" s="311"/>
      <c r="Q59" s="312"/>
      <c r="R59" s="76" t="s">
        <v>40</v>
      </c>
      <c r="S59" s="76" t="s">
        <v>40</v>
      </c>
      <c r="T59" s="97" t="s">
        <v>40</v>
      </c>
      <c r="U59" s="76" t="s">
        <v>40</v>
      </c>
      <c r="V59" s="76" t="s">
        <v>40</v>
      </c>
      <c r="W59" s="76"/>
    </row>
    <row r="60" spans="2:23" s="85" customFormat="1" ht="15.6" hidden="1">
      <c r="B60" s="99">
        <v>49</v>
      </c>
      <c r="C60" s="76" t="s">
        <v>40</v>
      </c>
      <c r="D60" s="76" t="s">
        <v>40</v>
      </c>
      <c r="E60" s="313" t="s">
        <v>411</v>
      </c>
      <c r="F60" s="314"/>
      <c r="G60" s="314"/>
      <c r="H60" s="315"/>
      <c r="I60" s="177" t="s">
        <v>438</v>
      </c>
      <c r="J60" s="177" t="s">
        <v>40</v>
      </c>
      <c r="K60" s="145">
        <v>46179</v>
      </c>
      <c r="L60" s="77" t="s">
        <v>40</v>
      </c>
      <c r="M60" s="77" t="s">
        <v>40</v>
      </c>
      <c r="N60" s="310" t="s">
        <v>413</v>
      </c>
      <c r="O60" s="311"/>
      <c r="P60" s="311"/>
      <c r="Q60" s="312"/>
      <c r="R60" s="76" t="s">
        <v>40</v>
      </c>
      <c r="S60" s="76" t="s">
        <v>40</v>
      </c>
      <c r="T60" s="97" t="s">
        <v>40</v>
      </c>
      <c r="U60" s="76" t="s">
        <v>40</v>
      </c>
      <c r="V60" s="76" t="s">
        <v>40</v>
      </c>
      <c r="W60" s="76"/>
    </row>
    <row r="61" spans="2:23" s="85" customFormat="1" ht="15.6" hidden="1">
      <c r="B61" s="99">
        <v>50</v>
      </c>
      <c r="C61" s="76" t="s">
        <v>40</v>
      </c>
      <c r="D61" s="76" t="s">
        <v>40</v>
      </c>
      <c r="E61" s="313" t="s">
        <v>411</v>
      </c>
      <c r="F61" s="314"/>
      <c r="G61" s="314"/>
      <c r="H61" s="315"/>
      <c r="I61" s="177" t="s">
        <v>439</v>
      </c>
      <c r="J61" s="177" t="s">
        <v>40</v>
      </c>
      <c r="K61" s="145">
        <v>46179</v>
      </c>
      <c r="L61" s="77" t="s">
        <v>40</v>
      </c>
      <c r="M61" s="77" t="s">
        <v>40</v>
      </c>
      <c r="N61" s="310" t="s">
        <v>413</v>
      </c>
      <c r="O61" s="311"/>
      <c r="P61" s="311"/>
      <c r="Q61" s="312"/>
      <c r="R61" s="76" t="s">
        <v>40</v>
      </c>
      <c r="S61" s="76" t="s">
        <v>40</v>
      </c>
      <c r="T61" s="97" t="s">
        <v>40</v>
      </c>
      <c r="U61" s="76" t="s">
        <v>40</v>
      </c>
      <c r="V61" s="76" t="s">
        <v>40</v>
      </c>
      <c r="W61" s="76"/>
    </row>
    <row r="62" spans="2:23" s="85" customFormat="1" ht="15.6" hidden="1">
      <c r="B62" s="99">
        <v>51</v>
      </c>
      <c r="C62" s="76" t="s">
        <v>40</v>
      </c>
      <c r="D62" s="76" t="s">
        <v>40</v>
      </c>
      <c r="E62" s="313" t="s">
        <v>411</v>
      </c>
      <c r="F62" s="314"/>
      <c r="G62" s="314"/>
      <c r="H62" s="315"/>
      <c r="I62" s="177" t="s">
        <v>440</v>
      </c>
      <c r="J62" s="177" t="s">
        <v>40</v>
      </c>
      <c r="K62" s="145">
        <v>46179</v>
      </c>
      <c r="L62" s="94" t="s">
        <v>40</v>
      </c>
      <c r="M62" s="94" t="s">
        <v>40</v>
      </c>
      <c r="N62" s="310" t="s">
        <v>413</v>
      </c>
      <c r="O62" s="311"/>
      <c r="P62" s="311"/>
      <c r="Q62" s="312"/>
      <c r="R62" s="76" t="s">
        <v>40</v>
      </c>
      <c r="S62" s="76" t="s">
        <v>40</v>
      </c>
      <c r="T62" s="97" t="s">
        <v>40</v>
      </c>
      <c r="U62" s="76" t="s">
        <v>40</v>
      </c>
      <c r="V62" s="76" t="s">
        <v>40</v>
      </c>
      <c r="W62" s="76"/>
    </row>
    <row r="63" spans="2:23" s="85" customFormat="1" ht="15.6" hidden="1">
      <c r="B63" s="99">
        <v>52</v>
      </c>
      <c r="C63" s="76" t="s">
        <v>40</v>
      </c>
      <c r="D63" s="76" t="s">
        <v>40</v>
      </c>
      <c r="E63" s="313" t="s">
        <v>411</v>
      </c>
      <c r="F63" s="314"/>
      <c r="G63" s="314"/>
      <c r="H63" s="315"/>
      <c r="I63" s="177" t="s">
        <v>441</v>
      </c>
      <c r="J63" s="177" t="s">
        <v>40</v>
      </c>
      <c r="K63" s="145">
        <v>46179</v>
      </c>
      <c r="L63" s="77" t="s">
        <v>40</v>
      </c>
      <c r="M63" s="94" t="s">
        <v>40</v>
      </c>
      <c r="N63" s="310" t="s">
        <v>413</v>
      </c>
      <c r="O63" s="311"/>
      <c r="P63" s="311"/>
      <c r="Q63" s="312"/>
      <c r="R63" s="76" t="s">
        <v>40</v>
      </c>
      <c r="S63" s="76" t="s">
        <v>40</v>
      </c>
      <c r="T63" s="97" t="s">
        <v>40</v>
      </c>
      <c r="U63" s="76" t="s">
        <v>40</v>
      </c>
      <c r="V63" s="76" t="s">
        <v>40</v>
      </c>
      <c r="W63" s="76"/>
    </row>
    <row r="64" spans="2:23" s="85" customFormat="1" ht="15.6" hidden="1">
      <c r="B64" s="99">
        <v>53</v>
      </c>
      <c r="C64" s="76" t="s">
        <v>40</v>
      </c>
      <c r="D64" s="76" t="s">
        <v>40</v>
      </c>
      <c r="E64" s="313" t="s">
        <v>411</v>
      </c>
      <c r="F64" s="314"/>
      <c r="G64" s="314"/>
      <c r="H64" s="315"/>
      <c r="I64" s="177" t="s">
        <v>442</v>
      </c>
      <c r="J64" s="177" t="s">
        <v>40</v>
      </c>
      <c r="K64" s="146" t="s">
        <v>419</v>
      </c>
      <c r="L64" s="77" t="s">
        <v>40</v>
      </c>
      <c r="M64" s="77" t="s">
        <v>40</v>
      </c>
      <c r="N64" s="310" t="s">
        <v>413</v>
      </c>
      <c r="O64" s="311"/>
      <c r="P64" s="311"/>
      <c r="Q64" s="312"/>
      <c r="R64" s="76" t="s">
        <v>40</v>
      </c>
      <c r="S64" s="76" t="s">
        <v>40</v>
      </c>
      <c r="T64" s="97" t="s">
        <v>40</v>
      </c>
      <c r="U64" s="76" t="s">
        <v>40</v>
      </c>
      <c r="V64" s="76" t="s">
        <v>40</v>
      </c>
      <c r="W64" s="76"/>
    </row>
    <row r="65" spans="2:24" s="85" customFormat="1" ht="15.6" hidden="1">
      <c r="B65" s="99">
        <v>54</v>
      </c>
      <c r="C65" s="76" t="s">
        <v>40</v>
      </c>
      <c r="D65" s="76" t="s">
        <v>40</v>
      </c>
      <c r="E65" s="313" t="s">
        <v>411</v>
      </c>
      <c r="F65" s="314"/>
      <c r="G65" s="314"/>
      <c r="H65" s="315"/>
      <c r="I65" s="177" t="s">
        <v>443</v>
      </c>
      <c r="J65" s="177" t="s">
        <v>40</v>
      </c>
      <c r="K65" s="146" t="s">
        <v>419</v>
      </c>
      <c r="L65" s="94" t="s">
        <v>40</v>
      </c>
      <c r="M65" s="77" t="s">
        <v>40</v>
      </c>
      <c r="N65" s="310" t="s">
        <v>413</v>
      </c>
      <c r="O65" s="311"/>
      <c r="P65" s="311"/>
      <c r="Q65" s="312"/>
      <c r="R65" s="76" t="s">
        <v>40</v>
      </c>
      <c r="S65" s="76" t="s">
        <v>40</v>
      </c>
      <c r="T65" s="97" t="s">
        <v>40</v>
      </c>
      <c r="U65" s="97" t="s">
        <v>40</v>
      </c>
      <c r="V65" s="97" t="s">
        <v>40</v>
      </c>
      <c r="W65" s="97"/>
      <c r="X65" s="76" t="s">
        <v>40</v>
      </c>
    </row>
    <row r="66" spans="2:24" ht="15.6" hidden="1">
      <c r="B66" s="99">
        <v>55</v>
      </c>
      <c r="C66" s="76" t="s">
        <v>40</v>
      </c>
      <c r="D66" s="76" t="s">
        <v>301</v>
      </c>
      <c r="E66" s="309" t="s">
        <v>302</v>
      </c>
      <c r="F66" s="309"/>
      <c r="G66" s="309"/>
      <c r="H66" s="309"/>
      <c r="I66" s="177" t="s">
        <v>383</v>
      </c>
      <c r="J66" s="177" t="s">
        <v>40</v>
      </c>
      <c r="K66" s="145">
        <v>46296</v>
      </c>
      <c r="L66" s="94" t="s">
        <v>40</v>
      </c>
      <c r="M66" s="77"/>
      <c r="N66" s="310" t="s">
        <v>364</v>
      </c>
      <c r="O66" s="311"/>
      <c r="P66" s="311"/>
      <c r="Q66" s="312"/>
      <c r="R66" s="76" t="s">
        <v>40</v>
      </c>
      <c r="S66" s="76" t="s">
        <v>40</v>
      </c>
      <c r="T66" s="144" t="s">
        <v>40</v>
      </c>
      <c r="U66" s="76" t="s">
        <v>40</v>
      </c>
      <c r="V66" s="76" t="s">
        <v>40</v>
      </c>
      <c r="W66" s="97"/>
    </row>
    <row r="67" spans="2:24" ht="14.45"/>
    <row r="68" spans="2:24" ht="14.45"/>
    <row r="69" spans="2:24" ht="14.45"/>
    <row r="70" spans="2:24" ht="14.45"/>
    <row r="71" spans="2:24" ht="14.45"/>
    <row r="72" spans="2:24" ht="14.45"/>
    <row r="73" spans="2:24" ht="14.45"/>
    <row r="74" spans="2:24" ht="14.45"/>
    <row r="75" spans="2:24" ht="14.45"/>
    <row r="76" spans="2:24" ht="14.45"/>
    <row r="77" spans="2:24" ht="14.45"/>
    <row r="78" spans="2:24" ht="14.45"/>
    <row r="79" spans="2:24" ht="14.45"/>
    <row r="80" spans="2:24" ht="14.45"/>
    <row r="81" ht="14.45"/>
    <row r="82" ht="14.45"/>
    <row r="83" ht="14.45"/>
    <row r="84" ht="14.45"/>
    <row r="85" ht="14.45"/>
    <row r="86" ht="14.45"/>
    <row r="87" ht="14.45"/>
    <row r="88" ht="14.45"/>
    <row r="89" ht="14.45"/>
    <row r="90" ht="14.45"/>
    <row r="91" ht="14.45"/>
    <row r="92" ht="14.45"/>
    <row r="93" ht="14.45"/>
    <row r="94" ht="14.45"/>
    <row r="95" ht="14.45"/>
    <row r="96" ht="14.45"/>
    <row r="97" ht="14.45"/>
    <row r="98" ht="14.45"/>
    <row r="99" ht="14.45"/>
    <row r="100" ht="14.45"/>
    <row r="101" ht="14.45"/>
    <row r="102" ht="14.45"/>
    <row r="103" ht="14.45"/>
    <row r="104" ht="14.45"/>
    <row r="105" ht="14.45"/>
    <row r="106" ht="14.45"/>
    <row r="107" ht="14.45"/>
    <row r="108" ht="14.45"/>
    <row r="109" ht="14.45"/>
    <row r="110" ht="14.45"/>
    <row r="111" ht="14.45"/>
    <row r="112" ht="14.45"/>
    <row r="113" ht="14.45"/>
    <row r="114" ht="14.45"/>
    <row r="115" ht="14.45"/>
    <row r="116" ht="14.45"/>
    <row r="117" ht="14.45"/>
    <row r="118" ht="14.45"/>
    <row r="119" ht="14.45"/>
    <row r="120" ht="14.45"/>
    <row r="121" ht="14.45"/>
    <row r="122" ht="14.45"/>
    <row r="123" ht="14.45"/>
    <row r="124" ht="14.45"/>
    <row r="125" ht="14.45"/>
    <row r="126" ht="14.45"/>
    <row r="127" ht="14.45"/>
    <row r="128" ht="14.45"/>
    <row r="129" ht="14.45"/>
    <row r="130" ht="14.45"/>
    <row r="131" ht="14.45"/>
    <row r="132" ht="14.45"/>
    <row r="133" ht="14.45"/>
    <row r="134" ht="14.45"/>
    <row r="135" ht="14.45"/>
    <row r="136" ht="14.45"/>
    <row r="137" ht="14.45"/>
    <row r="138" ht="14.45"/>
    <row r="139" ht="14.45"/>
    <row r="140" ht="14.45"/>
    <row r="141" ht="14.45"/>
    <row r="142" ht="14.45"/>
    <row r="143" ht="14.45"/>
    <row r="144" ht="14.45"/>
    <row r="145" ht="14.45"/>
    <row r="146" ht="14.45"/>
    <row r="147" ht="14.45"/>
    <row r="148" ht="14.45"/>
    <row r="149" ht="14.45"/>
    <row r="150" ht="14.45"/>
    <row r="151" ht="14.45"/>
    <row r="152" ht="14.45"/>
    <row r="153" ht="14.45"/>
    <row r="154" ht="14.45"/>
    <row r="155" ht="14.45"/>
    <row r="156" ht="14.45"/>
    <row r="157" ht="14.45"/>
    <row r="158" ht="14.45"/>
    <row r="159" ht="14.45"/>
    <row r="160" ht="14.45"/>
    <row r="161" ht="14.45"/>
    <row r="162" ht="14.45"/>
    <row r="163" ht="14.45"/>
    <row r="164" ht="14.45"/>
    <row r="165" ht="14.45"/>
    <row r="166" ht="14.45"/>
    <row r="167" ht="14.45"/>
    <row r="168" ht="14.45"/>
    <row r="169" ht="14.45"/>
    <row r="170" ht="14.45"/>
    <row r="171" ht="14.45"/>
    <row r="172" ht="14.45"/>
    <row r="173" ht="14.45"/>
    <row r="174" ht="14.45"/>
    <row r="175" ht="14.45"/>
    <row r="176" ht="14.45"/>
    <row r="177" ht="14.45"/>
    <row r="178" ht="14.45"/>
    <row r="179" ht="14.45"/>
    <row r="180" ht="14.45"/>
    <row r="181" ht="14.45"/>
    <row r="182" ht="14.45"/>
    <row r="183" ht="14.45"/>
    <row r="184" ht="14.45"/>
    <row r="185" ht="14.45"/>
    <row r="186" ht="14.45"/>
    <row r="187" ht="14.45"/>
    <row r="188" ht="14.45"/>
    <row r="189" ht="14.45"/>
    <row r="190" ht="14.45"/>
    <row r="191" ht="14.45"/>
    <row r="192" ht="14.45"/>
    <row r="193" ht="14.45"/>
    <row r="194" ht="14.45"/>
    <row r="195" ht="14.45"/>
    <row r="196" ht="14.45"/>
    <row r="197" ht="14.45"/>
    <row r="198" ht="14.45"/>
    <row r="199" ht="14.45"/>
    <row r="200" ht="14.45"/>
    <row r="201" ht="14.45"/>
    <row r="202" ht="14.45"/>
    <row r="203" ht="14.45"/>
    <row r="204" ht="14.45"/>
    <row r="205" ht="14.45"/>
    <row r="206" ht="14.45"/>
    <row r="207" ht="14.45"/>
    <row r="208" ht="14.45"/>
    <row r="209" ht="14.45"/>
    <row r="210" ht="14.45"/>
    <row r="211" ht="14.45"/>
    <row r="212" ht="14.45"/>
    <row r="213" ht="14.45"/>
    <row r="214" ht="14.45"/>
    <row r="215" ht="14.45"/>
    <row r="216" ht="14.45"/>
    <row r="217" ht="14.45"/>
    <row r="218" ht="14.45"/>
    <row r="219" ht="14.45"/>
    <row r="220" ht="14.45"/>
    <row r="221" ht="14.45"/>
    <row r="222" ht="14.45"/>
    <row r="223" ht="14.45"/>
    <row r="224" ht="14.45"/>
    <row r="225" ht="14.45"/>
    <row r="226" ht="14.45"/>
    <row r="227" ht="14.45"/>
    <row r="228" ht="14.45"/>
    <row r="229" ht="14.45"/>
    <row r="230" ht="14.45"/>
    <row r="231" ht="14.45"/>
    <row r="232" ht="14.45"/>
    <row r="233" ht="14.45"/>
    <row r="234" ht="14.45"/>
    <row r="235" ht="14.45"/>
    <row r="236" ht="14.45"/>
    <row r="237" ht="14.45"/>
    <row r="238" ht="0" hidden="1" customHeight="1"/>
  </sheetData>
  <autoFilter ref="A11:Y66" xr:uid="{00000000-0009-0000-0000-000002000000}">
    <filterColumn colId="3">
      <filters>
        <filter val="DNVU 2004709"/>
      </filters>
    </filterColumn>
    <filterColumn colId="4" showButton="0"/>
    <filterColumn colId="5" showButton="0"/>
    <filterColumn colId="6" showButton="0"/>
    <filterColumn colId="13" showButton="0"/>
    <filterColumn colId="14" showButton="0"/>
    <filterColumn colId="15" showButton="0"/>
  </autoFilter>
  <mergeCells count="133">
    <mergeCell ref="E25:H25"/>
    <mergeCell ref="N25:Q25"/>
    <mergeCell ref="N27:Q27"/>
    <mergeCell ref="N17:Q17"/>
    <mergeCell ref="N16:Q16"/>
    <mergeCell ref="E24:H24"/>
    <mergeCell ref="N24:Q24"/>
    <mergeCell ref="N21:Q21"/>
    <mergeCell ref="E19:H19"/>
    <mergeCell ref="N19:Q19"/>
    <mergeCell ref="E18:H18"/>
    <mergeCell ref="N18:Q18"/>
    <mergeCell ref="E20:H20"/>
    <mergeCell ref="N20:Q20"/>
    <mergeCell ref="E11:H11"/>
    <mergeCell ref="Q5:R5"/>
    <mergeCell ref="G7:I7"/>
    <mergeCell ref="N11:Q11"/>
    <mergeCell ref="M7:O7"/>
    <mergeCell ref="G5:I5"/>
    <mergeCell ref="M5:O5"/>
    <mergeCell ref="E14:H14"/>
    <mergeCell ref="N14:Q14"/>
    <mergeCell ref="E12:H12"/>
    <mergeCell ref="N12:Q12"/>
    <mergeCell ref="E13:H13"/>
    <mergeCell ref="E15:H15"/>
    <mergeCell ref="N13:Q13"/>
    <mergeCell ref="E38:H38"/>
    <mergeCell ref="N38:Q38"/>
    <mergeCell ref="E39:H39"/>
    <mergeCell ref="N39:Q39"/>
    <mergeCell ref="E30:H30"/>
    <mergeCell ref="N30:Q30"/>
    <mergeCell ref="E31:H31"/>
    <mergeCell ref="N31:Q31"/>
    <mergeCell ref="E32:H32"/>
    <mergeCell ref="N32:Q32"/>
    <mergeCell ref="E34:H34"/>
    <mergeCell ref="N34:Q34"/>
    <mergeCell ref="E16:H16"/>
    <mergeCell ref="E26:H26"/>
    <mergeCell ref="N26:Q26"/>
    <mergeCell ref="E27:H27"/>
    <mergeCell ref="E23:H23"/>
    <mergeCell ref="N23:Q23"/>
    <mergeCell ref="E22:H22"/>
    <mergeCell ref="N22:Q22"/>
    <mergeCell ref="E21:H21"/>
    <mergeCell ref="E17:H17"/>
    <mergeCell ref="B1:T1"/>
    <mergeCell ref="B2:E8"/>
    <mergeCell ref="Q4:W4"/>
    <mergeCell ref="B9:W9"/>
    <mergeCell ref="B10:W10"/>
    <mergeCell ref="Q6:R6"/>
    <mergeCell ref="S6:T6"/>
    <mergeCell ref="U6:V6"/>
    <mergeCell ref="Q7:R7"/>
    <mergeCell ref="S7:T7"/>
    <mergeCell ref="U7:V7"/>
    <mergeCell ref="F8:W8"/>
    <mergeCell ref="Q3:W3"/>
    <mergeCell ref="S5:T5"/>
    <mergeCell ref="F3:O3"/>
    <mergeCell ref="U5:V5"/>
    <mergeCell ref="E42:H42"/>
    <mergeCell ref="E43:H43"/>
    <mergeCell ref="E44:H44"/>
    <mergeCell ref="E45:H45"/>
    <mergeCell ref="E46:H46"/>
    <mergeCell ref="N42:Q42"/>
    <mergeCell ref="N43:Q43"/>
    <mergeCell ref="N44:Q44"/>
    <mergeCell ref="N45:Q45"/>
    <mergeCell ref="E36:H36"/>
    <mergeCell ref="N36:Q36"/>
    <mergeCell ref="E35:H35"/>
    <mergeCell ref="N35:Q35"/>
    <mergeCell ref="N46:Q46"/>
    <mergeCell ref="E28:H28"/>
    <mergeCell ref="N28:Q28"/>
    <mergeCell ref="E33:H33"/>
    <mergeCell ref="N33:Q33"/>
    <mergeCell ref="N41:Q41"/>
    <mergeCell ref="E41:H41"/>
    <mergeCell ref="E40:H40"/>
    <mergeCell ref="N40:Q40"/>
    <mergeCell ref="E37:H37"/>
    <mergeCell ref="N37:Q37"/>
    <mergeCell ref="E29:H29"/>
    <mergeCell ref="N29:Q29"/>
    <mergeCell ref="N47:Q47"/>
    <mergeCell ref="N48:Q48"/>
    <mergeCell ref="N49:Q49"/>
    <mergeCell ref="N50:Q50"/>
    <mergeCell ref="E59:H59"/>
    <mergeCell ref="E52:H52"/>
    <mergeCell ref="E55:H55"/>
    <mergeCell ref="E56:H56"/>
    <mergeCell ref="E53:H53"/>
    <mergeCell ref="E54:H54"/>
    <mergeCell ref="E50:H50"/>
    <mergeCell ref="E51:H51"/>
    <mergeCell ref="N51:Q51"/>
    <mergeCell ref="N52:Q52"/>
    <mergeCell ref="E47:H47"/>
    <mergeCell ref="E48:H48"/>
    <mergeCell ref="E49:H49"/>
    <mergeCell ref="E66:H66"/>
    <mergeCell ref="N66:Q66"/>
    <mergeCell ref="N15:Q15"/>
    <mergeCell ref="E62:H62"/>
    <mergeCell ref="E63:H63"/>
    <mergeCell ref="E64:H64"/>
    <mergeCell ref="E65:H65"/>
    <mergeCell ref="N64:Q64"/>
    <mergeCell ref="N65:Q65"/>
    <mergeCell ref="N59:Q59"/>
    <mergeCell ref="N60:Q60"/>
    <mergeCell ref="N61:Q61"/>
    <mergeCell ref="N62:Q62"/>
    <mergeCell ref="N63:Q63"/>
    <mergeCell ref="E60:H60"/>
    <mergeCell ref="E61:H61"/>
    <mergeCell ref="N54:Q54"/>
    <mergeCell ref="N55:Q55"/>
    <mergeCell ref="N56:Q56"/>
    <mergeCell ref="N57:Q57"/>
    <mergeCell ref="N58:Q58"/>
    <mergeCell ref="N53:Q53"/>
    <mergeCell ref="E57:H57"/>
    <mergeCell ref="E58:H58"/>
  </mergeCells>
  <phoneticPr fontId="17" type="noConversion"/>
  <conditionalFormatting sqref="L39:L40 L42:L43 L45:L46 L48:L49 L51:L52 L54:L55 L57:L58 L60:L61 L63:L64 K27:M27 L31:L32 K29:M29 L37 K12:M25">
    <cfRule type="cellIs" dxfId="40" priority="773" operator="equal">
      <formula>""</formula>
    </cfRule>
    <cfRule type="cellIs" dxfId="39" priority="774" operator="lessThanOrEqual">
      <formula>TODAY()</formula>
    </cfRule>
    <cfRule type="cellIs" dxfId="38" priority="775" operator="between">
      <formula>TODAY()</formula>
      <formula>TODAY()+60</formula>
    </cfRule>
    <cfRule type="cellIs" dxfId="37" priority="776" operator="greaterThanOrEqual">
      <formula>TODAY()+60</formula>
    </cfRule>
  </conditionalFormatting>
  <conditionalFormatting sqref="L17:M17">
    <cfRule type="cellIs" dxfId="36" priority="266" operator="equal">
      <formula>""</formula>
    </cfRule>
    <cfRule type="cellIs" dxfId="35" priority="267" operator="lessThanOrEqual">
      <formula>TODAY()</formula>
    </cfRule>
    <cfRule type="cellIs" dxfId="34" priority="268" operator="between">
      <formula>TODAY()</formula>
      <formula>TODAY()+60</formula>
    </cfRule>
    <cfRule type="cellIs" dxfId="33" priority="269" operator="greaterThanOrEqual">
      <formula>TODAY()+60</formula>
    </cfRule>
  </conditionalFormatting>
  <conditionalFormatting sqref="E29:H29">
    <cfRule type="expression" dxfId="32" priority="36">
      <formula>$D29=0</formula>
    </cfRule>
  </conditionalFormatting>
  <conditionalFormatting sqref="M39:M40 M43:M44 M50:M51 M57:M58 M46:M47 M53:M54 M60:M61 M64:M65 M31 M37 M33">
    <cfRule type="cellIs" dxfId="31" priority="31" operator="equal">
      <formula>""</formula>
    </cfRule>
    <cfRule type="cellIs" dxfId="30" priority="32" operator="lessThanOrEqual">
      <formula>TODAY()</formula>
    </cfRule>
    <cfRule type="cellIs" dxfId="29" priority="33" operator="between">
      <formula>TODAY()</formula>
      <formula>TODAY()+60</formula>
    </cfRule>
    <cfRule type="cellIs" dxfId="28" priority="34" operator="greaterThanOrEqual">
      <formula>TODAY()+60</formula>
    </cfRule>
  </conditionalFormatting>
  <conditionalFormatting sqref="K34:M34">
    <cfRule type="cellIs" dxfId="27" priority="26" operator="equal">
      <formula>""</formula>
    </cfRule>
    <cfRule type="cellIs" dxfId="26" priority="27" operator="lessThanOrEqual">
      <formula>TODAY()</formula>
    </cfRule>
    <cfRule type="cellIs" dxfId="25" priority="28" operator="between">
      <formula>TODAY()</formula>
      <formula>TODAY()+60</formula>
    </cfRule>
    <cfRule type="cellIs" dxfId="24" priority="29" operator="greaterThanOrEqual">
      <formula>TODAY()+60</formula>
    </cfRule>
  </conditionalFormatting>
  <conditionalFormatting sqref="M35:M37">
    <cfRule type="cellIs" dxfId="23" priority="21" operator="equal">
      <formula>""</formula>
    </cfRule>
    <cfRule type="cellIs" dxfId="22" priority="22" operator="lessThanOrEqual">
      <formula>TODAY()</formula>
    </cfRule>
    <cfRule type="cellIs" dxfId="21" priority="23" operator="between">
      <formula>TODAY()</formula>
      <formula>TODAY()+60</formula>
    </cfRule>
    <cfRule type="cellIs" dxfId="20" priority="24" operator="greaterThanOrEqual">
      <formula>TODAY()+60</formula>
    </cfRule>
  </conditionalFormatting>
  <conditionalFormatting sqref="L28">
    <cfRule type="cellIs" dxfId="19" priority="17" operator="equal">
      <formula>""</formula>
    </cfRule>
    <cfRule type="cellIs" dxfId="18" priority="18" operator="lessThanOrEqual">
      <formula>TODAY()</formula>
    </cfRule>
    <cfRule type="cellIs" dxfId="17" priority="19" operator="between">
      <formula>TODAY()</formula>
      <formula>TODAY()+60</formula>
    </cfRule>
    <cfRule type="cellIs" dxfId="16" priority="20" operator="greaterThanOrEqual">
      <formula>TODAY()+60</formula>
    </cfRule>
  </conditionalFormatting>
  <conditionalFormatting sqref="L30:M30">
    <cfRule type="cellIs" dxfId="15" priority="13" operator="equal">
      <formula>""</formula>
    </cfRule>
    <cfRule type="cellIs" dxfId="14" priority="14" operator="lessThanOrEqual">
      <formula>TODAY()</formula>
    </cfRule>
    <cfRule type="cellIs" dxfId="13" priority="15" operator="between">
      <formula>TODAY()</formula>
      <formula>TODAY()+60</formula>
    </cfRule>
    <cfRule type="cellIs" dxfId="12" priority="16" operator="greaterThanOrEqual">
      <formula>TODAY()+60</formula>
    </cfRule>
  </conditionalFormatting>
  <conditionalFormatting sqref="K33:L33">
    <cfRule type="cellIs" dxfId="11" priority="9" operator="equal">
      <formula>""</formula>
    </cfRule>
    <cfRule type="cellIs" dxfId="10" priority="10" operator="lessThanOrEqual">
      <formula>TODAY()</formula>
    </cfRule>
    <cfRule type="cellIs" dxfId="9" priority="11" operator="between">
      <formula>TODAY()</formula>
      <formula>TODAY()+60</formula>
    </cfRule>
    <cfRule type="cellIs" dxfId="8" priority="12" operator="greaterThanOrEqual">
      <formula>TODAY()+60</formula>
    </cfRule>
  </conditionalFormatting>
  <conditionalFormatting sqref="K32">
    <cfRule type="cellIs" dxfId="7" priority="5" operator="equal">
      <formula>""</formula>
    </cfRule>
    <cfRule type="cellIs" dxfId="6" priority="6" operator="lessThanOrEqual">
      <formula>TODAY()</formula>
    </cfRule>
    <cfRule type="cellIs" dxfId="5" priority="7" operator="between">
      <formula>TODAY()</formula>
      <formula>TODAY()+60</formula>
    </cfRule>
    <cfRule type="cellIs" dxfId="4" priority="8" operator="greaterThanOrEqual">
      <formula>TODAY()+60</formula>
    </cfRule>
  </conditionalFormatting>
  <conditionalFormatting sqref="M66">
    <cfRule type="cellIs" dxfId="3" priority="1" operator="equal">
      <formula>""</formula>
    </cfRule>
    <cfRule type="cellIs" dxfId="2" priority="2" operator="lessThanOrEqual">
      <formula>TODAY()</formula>
    </cfRule>
    <cfRule type="cellIs" dxfId="1" priority="3" operator="between">
      <formula>TODAY()</formula>
      <formula>TODAY()+60</formula>
    </cfRule>
    <cfRule type="cellIs" dxfId="0" priority="4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8" fitToHeight="0" orientation="landscape" r:id="rId1"/>
  <headerFooter>
    <oddFooter>&amp;C&amp;1#&amp;"Arial Black"&amp;11&amp;K737373PÚBLICA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"/>
  <sheetViews>
    <sheetView workbookViewId="0">
      <selection activeCell="F6" sqref="F6"/>
    </sheetView>
  </sheetViews>
  <sheetFormatPr defaultColWidth="9.28515625" defaultRowHeight="14.45"/>
  <cols>
    <col min="1" max="16384" width="9.28515625" style="31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B1:F46"/>
  <sheetViews>
    <sheetView zoomScale="80" zoomScaleNormal="80" workbookViewId="0">
      <selection activeCell="K3" sqref="K3"/>
    </sheetView>
  </sheetViews>
  <sheetFormatPr defaultColWidth="9.28515625" defaultRowHeight="14.45"/>
  <cols>
    <col min="1" max="1" width="9.28515625" style="1"/>
    <col min="2" max="2" width="9.28515625" style="1" hidden="1" customWidth="1"/>
    <col min="3" max="3" width="54.7109375" style="1" hidden="1" customWidth="1"/>
    <col min="4" max="5" width="9.28515625" style="1" hidden="1" customWidth="1"/>
    <col min="6" max="6" width="48.7109375" style="1" hidden="1" customWidth="1"/>
    <col min="7" max="10" width="0" style="1" hidden="1" customWidth="1"/>
    <col min="11" max="16384" width="9.28515625" style="1"/>
  </cols>
  <sheetData>
    <row r="1" spans="2:6" ht="15" thickBot="1"/>
    <row r="2" spans="2:6" s="9" customFormat="1" ht="45" customHeight="1" thickBot="1">
      <c r="B2" s="8"/>
      <c r="C2" s="8" t="s">
        <v>444</v>
      </c>
      <c r="E2" s="8"/>
      <c r="F2" s="8" t="s">
        <v>445</v>
      </c>
    </row>
    <row r="3" spans="2:6">
      <c r="C3" s="10" t="s">
        <v>58</v>
      </c>
      <c r="F3" s="11" t="s">
        <v>446</v>
      </c>
    </row>
    <row r="4" spans="2:6">
      <c r="C4" s="11" t="s">
        <v>446</v>
      </c>
      <c r="F4" s="12" t="s">
        <v>447</v>
      </c>
    </row>
    <row r="5" spans="2:6">
      <c r="C5" s="11" t="s">
        <v>448</v>
      </c>
      <c r="F5" s="11" t="s">
        <v>448</v>
      </c>
    </row>
    <row r="6" spans="2:6">
      <c r="C6" s="13" t="s">
        <v>166</v>
      </c>
      <c r="F6" s="11" t="s">
        <v>449</v>
      </c>
    </row>
    <row r="7" spans="2:6">
      <c r="C7" s="11" t="s">
        <v>450</v>
      </c>
      <c r="F7" s="12" t="s">
        <v>451</v>
      </c>
    </row>
    <row r="8" spans="2:6">
      <c r="C8" s="11" t="s">
        <v>449</v>
      </c>
      <c r="F8" s="11" t="s">
        <v>452</v>
      </c>
    </row>
    <row r="9" spans="2:6">
      <c r="C9" s="11" t="s">
        <v>452</v>
      </c>
      <c r="F9" s="12" t="s">
        <v>453</v>
      </c>
    </row>
    <row r="10" spans="2:6">
      <c r="C10" s="14" t="s">
        <v>453</v>
      </c>
      <c r="F10" s="12" t="s">
        <v>454</v>
      </c>
    </row>
    <row r="11" spans="2:6">
      <c r="C11" s="14" t="s">
        <v>455</v>
      </c>
      <c r="F11" s="11" t="s">
        <v>43</v>
      </c>
    </row>
    <row r="12" spans="2:6">
      <c r="C12" s="11" t="s">
        <v>43</v>
      </c>
      <c r="F12" s="12" t="s">
        <v>456</v>
      </c>
    </row>
    <row r="13" spans="2:6">
      <c r="C13" s="14" t="s">
        <v>456</v>
      </c>
      <c r="F13" s="12" t="s">
        <v>457</v>
      </c>
    </row>
    <row r="14" spans="2:6">
      <c r="C14" s="14" t="s">
        <v>457</v>
      </c>
      <c r="F14" s="12" t="s">
        <v>458</v>
      </c>
    </row>
    <row r="15" spans="2:6">
      <c r="C15" s="14" t="s">
        <v>459</v>
      </c>
      <c r="F15" s="12" t="s">
        <v>459</v>
      </c>
    </row>
    <row r="16" spans="2:6">
      <c r="C16" s="14" t="s">
        <v>460</v>
      </c>
      <c r="F16" s="12" t="s">
        <v>460</v>
      </c>
    </row>
    <row r="17" spans="3:6">
      <c r="C17" s="14" t="s">
        <v>461</v>
      </c>
      <c r="F17" s="12" t="s">
        <v>461</v>
      </c>
    </row>
    <row r="18" spans="3:6">
      <c r="C18" s="11" t="s">
        <v>462</v>
      </c>
      <c r="F18" s="12" t="s">
        <v>463</v>
      </c>
    </row>
    <row r="19" spans="3:6">
      <c r="C19" s="14" t="s">
        <v>464</v>
      </c>
      <c r="F19" s="11" t="s">
        <v>462</v>
      </c>
    </row>
    <row r="20" spans="3:6">
      <c r="C20" s="11" t="s">
        <v>78</v>
      </c>
      <c r="F20" s="12" t="s">
        <v>465</v>
      </c>
    </row>
    <row r="21" spans="3:6">
      <c r="C21" s="11" t="s">
        <v>50</v>
      </c>
      <c r="F21" s="12" t="s">
        <v>464</v>
      </c>
    </row>
    <row r="22" spans="3:6">
      <c r="C22" s="11" t="s">
        <v>466</v>
      </c>
      <c r="F22" s="11" t="s">
        <v>78</v>
      </c>
    </row>
    <row r="23" spans="3:6">
      <c r="C23" s="11" t="s">
        <v>149</v>
      </c>
      <c r="F23" s="12" t="s">
        <v>467</v>
      </c>
    </row>
    <row r="24" spans="3:6">
      <c r="C24" s="11" t="s">
        <v>468</v>
      </c>
      <c r="F24" s="11" t="s">
        <v>50</v>
      </c>
    </row>
    <row r="25" spans="3:6">
      <c r="C25" s="14" t="s">
        <v>469</v>
      </c>
      <c r="F25" s="11" t="s">
        <v>466</v>
      </c>
    </row>
    <row r="26" spans="3:6">
      <c r="C26" s="11" t="s">
        <v>470</v>
      </c>
      <c r="F26" s="11" t="s">
        <v>149</v>
      </c>
    </row>
    <row r="27" spans="3:6">
      <c r="C27" s="11" t="s">
        <v>471</v>
      </c>
      <c r="F27" s="11" t="s">
        <v>468</v>
      </c>
    </row>
    <row r="28" spans="3:6">
      <c r="C28" s="11" t="s">
        <v>472</v>
      </c>
      <c r="F28" s="12" t="s">
        <v>469</v>
      </c>
    </row>
    <row r="29" spans="3:6">
      <c r="C29" s="13" t="s">
        <v>473</v>
      </c>
      <c r="F29" s="11" t="s">
        <v>470</v>
      </c>
    </row>
    <row r="30" spans="3:6">
      <c r="C30" s="14" t="s">
        <v>474</v>
      </c>
      <c r="F30" s="11" t="s">
        <v>471</v>
      </c>
    </row>
    <row r="31" spans="3:6">
      <c r="C31" s="11" t="s">
        <v>39</v>
      </c>
      <c r="F31" s="11" t="s">
        <v>472</v>
      </c>
    </row>
    <row r="32" spans="3:6">
      <c r="C32" s="14" t="s">
        <v>475</v>
      </c>
      <c r="F32" s="12" t="s">
        <v>474</v>
      </c>
    </row>
    <row r="33" spans="3:6">
      <c r="C33" s="11" t="s">
        <v>476</v>
      </c>
      <c r="F33" s="11" t="s">
        <v>39</v>
      </c>
    </row>
    <row r="34" spans="3:6">
      <c r="C34" s="11" t="s">
        <v>477</v>
      </c>
      <c r="F34" s="12" t="s">
        <v>475</v>
      </c>
    </row>
    <row r="35" spans="3:6">
      <c r="C35" s="11" t="s">
        <v>478</v>
      </c>
      <c r="F35" s="11" t="s">
        <v>476</v>
      </c>
    </row>
    <row r="36" spans="3:6">
      <c r="C36" s="11" t="s">
        <v>479</v>
      </c>
      <c r="F36" s="11" t="s">
        <v>477</v>
      </c>
    </row>
    <row r="37" spans="3:6">
      <c r="C37" s="14" t="s">
        <v>480</v>
      </c>
      <c r="F37" s="11" t="s">
        <v>478</v>
      </c>
    </row>
    <row r="38" spans="3:6">
      <c r="C38" s="14" t="s">
        <v>481</v>
      </c>
      <c r="F38" s="12" t="s">
        <v>480</v>
      </c>
    </row>
    <row r="39" spans="3:6">
      <c r="C39" s="14" t="s">
        <v>482</v>
      </c>
      <c r="F39" s="12" t="s">
        <v>481</v>
      </c>
    </row>
    <row r="40" spans="3:6">
      <c r="C40" s="11" t="s">
        <v>483</v>
      </c>
      <c r="F40" s="12" t="s">
        <v>482</v>
      </c>
    </row>
    <row r="41" spans="3:6">
      <c r="C41" s="14" t="s">
        <v>484</v>
      </c>
      <c r="F41" s="11" t="s">
        <v>483</v>
      </c>
    </row>
    <row r="42" spans="3:6">
      <c r="C42" s="14" t="s">
        <v>485</v>
      </c>
      <c r="F42" s="12" t="s">
        <v>486</v>
      </c>
    </row>
    <row r="43" spans="3:6" ht="15" thickBot="1">
      <c r="C43" s="15" t="s">
        <v>174</v>
      </c>
      <c r="F43" s="12" t="s">
        <v>487</v>
      </c>
    </row>
    <row r="44" spans="3:6">
      <c r="F44" s="12" t="s">
        <v>484</v>
      </c>
    </row>
    <row r="45" spans="3:6">
      <c r="F45" s="12" t="s">
        <v>485</v>
      </c>
    </row>
    <row r="46" spans="3:6" ht="15" thickBot="1">
      <c r="F46" s="16" t="s">
        <v>488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B5:D12"/>
  <sheetViews>
    <sheetView workbookViewId="0">
      <selection activeCell="D8" sqref="D8"/>
    </sheetView>
  </sheetViews>
  <sheetFormatPr defaultColWidth="9.28515625" defaultRowHeight="14.45"/>
  <cols>
    <col min="1" max="1" width="9.28515625" style="27"/>
    <col min="2" max="2" width="7.28515625" style="27" bestFit="1" customWidth="1"/>
    <col min="3" max="3" width="83.28515625" style="27" bestFit="1" customWidth="1"/>
    <col min="4" max="4" width="8.7109375" style="27" bestFit="1" customWidth="1"/>
    <col min="5" max="16384" width="9.28515625" style="27"/>
  </cols>
  <sheetData>
    <row r="5" spans="2:4" ht="39.6">
      <c r="B5" s="25" t="s">
        <v>489</v>
      </c>
      <c r="C5" s="25" t="s">
        <v>490</v>
      </c>
      <c r="D5" s="26" t="s">
        <v>491</v>
      </c>
    </row>
    <row r="6" spans="2:4">
      <c r="B6" s="28">
        <v>3</v>
      </c>
      <c r="C6" s="29"/>
      <c r="D6" s="30"/>
    </row>
    <row r="7" spans="2:4">
      <c r="B7" s="28">
        <v>4</v>
      </c>
      <c r="C7" s="29" t="s">
        <v>492</v>
      </c>
      <c r="D7" s="30" t="s">
        <v>493</v>
      </c>
    </row>
    <row r="8" spans="2:4">
      <c r="B8" s="28">
        <v>4</v>
      </c>
      <c r="C8" s="29" t="s">
        <v>494</v>
      </c>
      <c r="D8" s="30" t="s">
        <v>495</v>
      </c>
    </row>
    <row r="9" spans="2:4">
      <c r="B9" s="28">
        <v>3</v>
      </c>
      <c r="C9" s="29" t="s">
        <v>496</v>
      </c>
      <c r="D9" s="30" t="s">
        <v>497</v>
      </c>
    </row>
    <row r="10" spans="2:4">
      <c r="B10" s="28">
        <v>1</v>
      </c>
      <c r="C10" s="29" t="s">
        <v>498</v>
      </c>
      <c r="D10" s="30" t="s">
        <v>499</v>
      </c>
    </row>
    <row r="11" spans="2:4">
      <c r="B11" s="28">
        <v>1</v>
      </c>
      <c r="C11" s="29" t="s">
        <v>500</v>
      </c>
      <c r="D11" s="30" t="s">
        <v>501</v>
      </c>
    </row>
    <row r="12" spans="2:4">
      <c r="B12" s="28">
        <v>1</v>
      </c>
      <c r="C12" s="29" t="s">
        <v>502</v>
      </c>
      <c r="D12" s="30" t="s">
        <v>503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0eeec616a71b2100362c391fda8aaf50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50f59f5841196eb2a1cc78814cf99a9d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1F1DD1-CB4F-47F5-BA52-BB453FD67A47}"/>
</file>

<file path=customXml/itemProps2.xml><?xml version="1.0" encoding="utf-8"?>
<ds:datastoreItem xmlns:ds="http://schemas.openxmlformats.org/officeDocument/2006/customXml" ds:itemID="{09FF7170-3740-43A8-84AF-D41D07BF2B36}"/>
</file>

<file path=customXml/itemProps3.xml><?xml version="1.0" encoding="utf-8"?>
<ds:datastoreItem xmlns:ds="http://schemas.openxmlformats.org/officeDocument/2006/customXml" ds:itemID="{C86D0977-E3B4-4E4C-AD1E-806005023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Josivaldo Mendes</cp:lastModifiedBy>
  <cp:revision/>
  <dcterms:created xsi:type="dcterms:W3CDTF">2019-02-19T14:15:50Z</dcterms:created>
  <dcterms:modified xsi:type="dcterms:W3CDTF">2026-01-01T10:38:19Z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