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rapha\Downloads\"/>
    </mc:Choice>
  </mc:AlternateContent>
  <xr:revisionPtr revIDLastSave="226" documentId="13_ncr:1_{BBEF9793-5543-46E9-9687-AA57663D5CD9}" xr6:coauthVersionLast="47" xr6:coauthVersionMax="47" xr10:uidLastSave="{3761B8EE-F9CD-4652-AC2D-449C8D4312C9}"/>
  <bookViews>
    <workbookView xWindow="-120" yWindow="-120" windowWidth="20730" windowHeight="11040" tabRatio="786" activeTab="1" xr2:uid="{00000000-000D-0000-FFFF-FFFF00000000}"/>
  </bookViews>
  <sheets>
    <sheet name="Geral" sheetId="6" r:id="rId1"/>
    <sheet name="Controle de Eslingas" sheetId="16" r:id="rId2"/>
    <sheet name="Consumíveis" sheetId="22" r:id="rId3"/>
    <sheet name="High Torc" sheetId="18" state="hidden" r:id="rId4"/>
    <sheet name="Dropdown" sheetId="19" state="hidden" r:id="rId5"/>
    <sheet name="Plan6" sheetId="20" state="hidden" r:id="rId6"/>
    <sheet name="Mangueiras" sheetId="23" r:id="rId7"/>
    <sheet name="EQP. MEDIÇÃO" sheetId="24" r:id="rId8"/>
  </sheets>
  <definedNames>
    <definedName name="_xlnm._FilterDatabase" localSheetId="1" hidden="1">'Controle de Eslingas'!$A$11:$Y$108</definedName>
    <definedName name="_xlnm._FilterDatabase" localSheetId="6" hidden="1">Mangueiras!$A$5:$G$5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24" l="1"/>
  <c r="B86" i="24"/>
  <c r="B85" i="24"/>
  <c r="Q7" i="24"/>
  <c r="M7" i="24"/>
  <c r="L7" i="24"/>
  <c r="F7" i="24"/>
  <c r="Q6" i="24"/>
  <c r="U5" i="24"/>
  <c r="Q5" i="24"/>
  <c r="L5" i="24"/>
  <c r="F5" i="24"/>
  <c r="Q3" i="24"/>
  <c r="F3" i="24"/>
  <c r="M7" i="16"/>
  <c r="F3" i="16"/>
  <c r="U5" i="16"/>
  <c r="B136" i="6" l="1"/>
  <c r="T7" i="22" l="1"/>
  <c r="T6" i="22"/>
  <c r="T5" i="22"/>
  <c r="P7" i="22"/>
  <c r="P6" i="22"/>
  <c r="P5" i="22"/>
  <c r="K7" i="22"/>
  <c r="K5" i="22"/>
  <c r="G7" i="22"/>
  <c r="G5" i="22"/>
  <c r="B24" i="22" l="1"/>
  <c r="B25" i="22" s="1"/>
  <c r="B26" i="22" s="1"/>
  <c r="B53" i="22" l="1"/>
  <c r="B27" i="22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/>
  <c r="B47" i="22"/>
  <c r="B48" i="22"/>
  <c r="B49" i="22"/>
  <c r="B50" i="22"/>
  <c r="B51" i="22"/>
  <c r="B52" i="22"/>
  <c r="R7" i="22"/>
  <c r="N7" i="22"/>
  <c r="J7" i="22"/>
  <c r="F7" i="22"/>
  <c r="R6" i="22"/>
  <c r="N6" i="22"/>
  <c r="R5" i="22"/>
  <c r="N5" i="22"/>
  <c r="J5" i="22"/>
  <c r="F5" i="22"/>
  <c r="N3" i="22"/>
  <c r="F3" i="22"/>
  <c r="B176" i="6" l="1"/>
  <c r="Q7" i="16" l="1"/>
  <c r="Q6" i="16"/>
  <c r="Q5" i="16"/>
  <c r="L7" i="16"/>
  <c r="L5" i="16"/>
  <c r="F7" i="16"/>
  <c r="F5" i="16"/>
  <c r="Q3" i="16"/>
  <c r="N134" i="6" l="1"/>
  <c r="N132" i="6"/>
  <c r="N125" i="6"/>
  <c r="N117" i="6"/>
  <c r="N115" i="6"/>
  <c r="N113" i="6"/>
  <c r="N112" i="6"/>
  <c r="N67" i="6"/>
  <c r="N64" i="6"/>
  <c r="N62" i="6"/>
  <c r="N56" i="6"/>
  <c r="N44" i="6"/>
  <c r="N35" i="6"/>
  <c r="N26" i="6"/>
  <c r="N13" i="6"/>
  <c r="B12" i="6" l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Azeredo Mendonça - PrestServ</author>
  </authors>
  <commentList>
    <comment ref="L1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Marcos Azeredo Mendonça - PrestServ:</t>
        </r>
        <r>
          <rPr>
            <sz val="9"/>
            <color indexed="81"/>
            <rFont val="Segoe UI"/>
            <family val="2"/>
          </rPr>
          <t xml:space="preserve">
1,00 x 1,00 x 1,00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Mendonca</author>
  </authors>
  <commentList>
    <comment ref="J11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 xml:space="preserve">Inserir exemplo:
</t>
        </r>
        <r>
          <rPr>
            <sz val="9"/>
            <color indexed="81"/>
            <rFont val="Segoe UI"/>
            <family val="2"/>
          </rPr>
          <t xml:space="preserve">4P x 1.1/4''x  22,3 T x 5,1 m (Quantidade de partes x Bitola x Capacidade em Toneladas x Comprimento em metros).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Mendonca</author>
  </authors>
  <commentList>
    <comment ref="J11" authorId="0" shapeId="0" xr:uid="{00000000-0006-0000-0700-000001000000}">
      <text>
        <r>
          <rPr>
            <b/>
            <sz val="9"/>
            <color indexed="81"/>
            <rFont val="Segoe UI"/>
            <family val="2"/>
          </rPr>
          <t xml:space="preserve">Inserir exemplo:
</t>
        </r>
        <r>
          <rPr>
            <sz val="9"/>
            <color indexed="81"/>
            <rFont val="Segoe UI"/>
            <family val="2"/>
          </rPr>
          <t xml:space="preserve">4P x 1.1/4''x  22,3 T x 5,1 m (Quantidade de partes x Bitola x Capacidade em Toneladas x Comprimento em metros).
</t>
        </r>
      </text>
    </comment>
  </commentList>
</comments>
</file>

<file path=xl/sharedStrings.xml><?xml version="1.0" encoding="utf-8"?>
<sst xmlns="http://schemas.openxmlformats.org/spreadsheetml/2006/main" count="1812" uniqueCount="615">
  <si>
    <t>Controle de Equipamentos Offshore</t>
  </si>
  <si>
    <t>Equipe a bordo</t>
  </si>
  <si>
    <t>Sonda:</t>
  </si>
  <si>
    <t>NS-56</t>
  </si>
  <si>
    <t>Poço:</t>
  </si>
  <si>
    <t>7-JUB-84H-ESS</t>
  </si>
  <si>
    <t xml:space="preserve">Supervisor </t>
  </si>
  <si>
    <t>RAPHAEL DELLATORRE</t>
  </si>
  <si>
    <t>Técnico</t>
  </si>
  <si>
    <t>VINICIUS PEREIRA</t>
  </si>
  <si>
    <t>Data:</t>
  </si>
  <si>
    <t>Campo:</t>
  </si>
  <si>
    <t>JUBARTE</t>
  </si>
  <si>
    <t>ERICO MARTINS</t>
  </si>
  <si>
    <t>EQUIPAMENTOS</t>
  </si>
  <si>
    <t>Item</t>
  </si>
  <si>
    <t>Equip.</t>
  </si>
  <si>
    <t>Qtd</t>
  </si>
  <si>
    <t>NP</t>
  </si>
  <si>
    <t>NS</t>
  </si>
  <si>
    <t>Descrição do item</t>
  </si>
  <si>
    <t>Localização</t>
  </si>
  <si>
    <t>Dimensões em metros
(C x L x A)</t>
  </si>
  <si>
    <t>Peso (Kg)</t>
  </si>
  <si>
    <t>Eslinga</t>
  </si>
  <si>
    <t>Solic. Material</t>
  </si>
  <si>
    <t>RT de Embarque</t>
  </si>
  <si>
    <t>Data de Embarque</t>
  </si>
  <si>
    <t>RT de Desembarque</t>
  </si>
  <si>
    <t>Data de Desembarque</t>
  </si>
  <si>
    <t>Origem</t>
  </si>
  <si>
    <t>Destino</t>
  </si>
  <si>
    <t>Observação</t>
  </si>
  <si>
    <t>JUNTAS</t>
  </si>
  <si>
    <t>N/A</t>
  </si>
  <si>
    <t>STRESS JOINT 43FT</t>
  </si>
  <si>
    <t>-</t>
  </si>
  <si>
    <t>STRESS JOINT TRANSPORT SKID</t>
  </si>
  <si>
    <t>MECHANICAL RAPID CONNECTOR</t>
  </si>
  <si>
    <t>PIPE DRILL 6.5/8" - XT-MF 69</t>
  </si>
  <si>
    <t>Pipe Deck</t>
  </si>
  <si>
    <t>NS-43</t>
  </si>
  <si>
    <t>PPJ-021</t>
  </si>
  <si>
    <t>PUP JOINT 8' - XT-MF 69</t>
  </si>
  <si>
    <t>PPJ-015 / PPJ-009 / PPJ-013</t>
  </si>
  <si>
    <t>PUP JOINT 10' - XT-MF 69</t>
  </si>
  <si>
    <t>PUP JOINT 20' - XT-MF 69</t>
  </si>
  <si>
    <t>SSUB-006</t>
  </si>
  <si>
    <t>SAVER SUB BOX X BOX</t>
  </si>
  <si>
    <t>15/01/2026</t>
  </si>
  <si>
    <t>SSUB-010</t>
  </si>
  <si>
    <t>SAVER SUB BOX X PIN</t>
  </si>
  <si>
    <t>SSUB-015</t>
  </si>
  <si>
    <t>SAVER SUB PIN X PIN</t>
  </si>
  <si>
    <t>Riser Deck</t>
  </si>
  <si>
    <t>LUBRICATOR VALVE ASSEMBLY</t>
  </si>
  <si>
    <t>RISER ACCESSORIES TRANSPORT BASKET</t>
  </si>
  <si>
    <t>ADAPTADORES</t>
  </si>
  <si>
    <t>ADAPTER HUB 11” X RISER MC 12D</t>
  </si>
  <si>
    <t>ADAPTER HUB 11” X RISER MC 12DX</t>
  </si>
  <si>
    <t>ADAPTER XT-MF69 (BOX) X MC 8D (BOX)</t>
  </si>
  <si>
    <t>ADAPTER XT-MF69 (BOX) X MC 8DX (BOX)</t>
  </si>
  <si>
    <t>ADAPTER HUB 11” X FLANGE 11” 5X1</t>
  </si>
  <si>
    <t>ADAPTER HUB 11” X FLANGE 11” 4X2</t>
  </si>
  <si>
    <t>ADAPTER HUB 11” X FLANGE 11” 10K</t>
  </si>
  <si>
    <t>ADAPTER HUB 11” X FLANGE 13 5/8” 5X1</t>
  </si>
  <si>
    <t>HUB ADAPTER TRANSPORT SKID</t>
  </si>
  <si>
    <t>CROSSOVER'S</t>
  </si>
  <si>
    <t>CRO-003
CRO-001</t>
  </si>
  <si>
    <t>CROSSOVER DPR X 4 ½” IF</t>
  </si>
  <si>
    <t>CRO-009</t>
  </si>
  <si>
    <t>CROSSOVER DPR X 6 5/8” VAM DPR SR</t>
  </si>
  <si>
    <t>CRO-023</t>
  </si>
  <si>
    <t>CROSSOVER DPR X 6 5/8” VAM DPR HP</t>
  </si>
  <si>
    <t>CRO-061</t>
  </si>
  <si>
    <t>CROSSOVER DPR X 6 5/8” FH</t>
  </si>
  <si>
    <t>CROSSOVER DPR X DP 5” NC50</t>
  </si>
  <si>
    <t>CROSSOVER STUB ACME PIN X XT-MF69 BOX</t>
  </si>
  <si>
    <t>CROSSOVER STUB ACME PIN X XT-MF69 PIN</t>
  </si>
  <si>
    <t>CRO-069</t>
  </si>
  <si>
    <t>CROSSOVER DPR X SWIVEL</t>
  </si>
  <si>
    <t>DPR CROSSOVER TRANSPORT BASKET</t>
  </si>
  <si>
    <t>SFT UPPER CROSSOVER 8 ¼” STUB ACME X 8 ¼” ACME BOWEN</t>
  </si>
  <si>
    <t>SFTUC-006</t>
  </si>
  <si>
    <t>SFT UPPER CROSSOVER 8 ¼” STUB ACME X 4 7/8” STUB ACME</t>
  </si>
  <si>
    <t>SFTUC-012</t>
  </si>
  <si>
    <t>SFT UPPER CROSSOVER 8 ¼” STUB ACME X 9” OTIS</t>
  </si>
  <si>
    <t>SFT UPPER  CROSSOVER TEST PIN 8 ¼” STUB ACME</t>
  </si>
  <si>
    <t>SFT</t>
  </si>
  <si>
    <t>SFT-001</t>
  </si>
  <si>
    <t>SURFACE FLOW TREE</t>
  </si>
  <si>
    <t>DPR</t>
  </si>
  <si>
    <t>SWJ-001</t>
  </si>
  <si>
    <t>SWIVEL JOINT</t>
  </si>
  <si>
    <t>TS-006</t>
  </si>
  <si>
    <t>SURFACE FLOW TREE TRANSPORT SKID</t>
  </si>
  <si>
    <t>CFP-004</t>
  </si>
  <si>
    <t>FLEXIBLE FLOW LINE PIPE ASSEMBLY</t>
  </si>
  <si>
    <t>JA-905</t>
  </si>
  <si>
    <t>FLEXIBLE FLOW LINE PIPE TRANSPORT BASKET</t>
  </si>
  <si>
    <t>PIT-009</t>
  </si>
  <si>
    <t>SWIVEL LOWER TEST BOX</t>
  </si>
  <si>
    <t xml:space="preserve"> CWJ-004 E CWJ-005</t>
  </si>
  <si>
    <t>CASED WEAR JOINT</t>
  </si>
  <si>
    <t>CARRETÉIS</t>
  </si>
  <si>
    <t>OPEN SEA REELER</t>
  </si>
  <si>
    <t>OPEN SEA UMBILICAL 38W 2000M</t>
  </si>
  <si>
    <t>PROTETOR DO CONECTOR ELÉTRICO ODI DO UEH</t>
  </si>
  <si>
    <t>R-182</t>
  </si>
  <si>
    <t>TUBING HANGER REELER</t>
  </si>
  <si>
    <t>U-200</t>
  </si>
  <si>
    <t>TUBING HANGER UMBILICAL 13W+HCR 2000M</t>
  </si>
  <si>
    <t>HCR ANNULUS CIRCULATION REELER 2000M</t>
  </si>
  <si>
    <t>HCR ANNULUS CIRCULATION UMBILICAL  2000M X 1.1/4”</t>
  </si>
  <si>
    <t>HYDRAULIC ADAPTER FOR 2 HCR CONNECTION - ASSEMBLY</t>
  </si>
  <si>
    <t>LUBRICATOR VALVE CONTROL REELER</t>
  </si>
  <si>
    <t>LUBRICATOR VALVE CONTROL UMBILICAL</t>
  </si>
  <si>
    <t>HPU / CONTROL CABIN</t>
  </si>
  <si>
    <t>HPU W/ INTEGRATED OPEN SEA CONTROL PANEL</t>
  </si>
  <si>
    <t>ELECTRICAL JUMPER HPU X RIG - POWER</t>
  </si>
  <si>
    <t>ELECTRICAL JUMPER HPU X INCLINOMETER - SIGNAL</t>
  </si>
  <si>
    <t>ELECTRICAL JUMPER HPU X OS REELER - SIGNAL</t>
  </si>
  <si>
    <t>ELECTRICAL JUMPER HPU X TH REELER - SIGNAL</t>
  </si>
  <si>
    <t>CONTROL CABIN</t>
  </si>
  <si>
    <t>ELECTRICAL JUMPER CONTROL CABIN X RIG - POWER</t>
  </si>
  <si>
    <t>ELECTRICAL JUMPER CONTROL CABIN X RCP - POWER</t>
  </si>
  <si>
    <t>ELECTRICAL JUMPER CONTROL CABIN X RCP - COM</t>
  </si>
  <si>
    <t>ELECTRICAL JUMPER CONTROL CABIN X ESDP - SIGNAL</t>
  </si>
  <si>
    <t>ELECTRICAL JUMPER CONTROL CABIN X HPU - POWER</t>
  </si>
  <si>
    <t>ELECTRICAL JUMPER CONTROL CABIN X HPU - COM</t>
  </si>
  <si>
    <t>ELECTRICAL JUMPER CONTROL CABIN X THCP - POWER</t>
  </si>
  <si>
    <t>ELECTRICAL JUMPER CONTROL CABIN X THCP - COM</t>
  </si>
  <si>
    <t>REMOTE CONTROL PANEL – RCP</t>
  </si>
  <si>
    <t>EMERGENCY SHUTDOWN PANEL – ESDP</t>
  </si>
  <si>
    <t>PNL-010</t>
  </si>
  <si>
    <t>TUBING HANGER CONTROL PANEL</t>
  </si>
  <si>
    <t>JUMPER'S</t>
  </si>
  <si>
    <t>JUMPER HYDRAULIC</t>
  </si>
  <si>
    <t>INCLINOMETRO / JUMPER Y</t>
  </si>
  <si>
    <t xml:space="preserve">SENSOR INCLINOMETER SUBSEA DUAL </t>
  </si>
  <si>
    <t xml:space="preserve">ELECTRICAL JUMPER CONNECTION UMBILICAL X INCLINOMETER </t>
  </si>
  <si>
    <t>INCLINOMETER CLAMPING DEVICE  ASSEMBLY</t>
  </si>
  <si>
    <t>ELECTRICAL JUMPER 7W 14M FOR CONNECTION W/ EDP</t>
  </si>
  <si>
    <t>ELECTRICAL JUMPER (Y) - OS UMBILICAL x EFL</t>
  </si>
  <si>
    <t>CLAMP'S</t>
  </si>
  <si>
    <t>CLAMPS TO ATTACH OS UMBILICAL TO STANDARD RISER JOINTS 6 5/8”</t>
  </si>
  <si>
    <t>CLAMPS TO ATTACH OS UMBILICAL TO RIG RISER JOINTS 5”</t>
  </si>
  <si>
    <t xml:space="preserve"> CLP 024/025</t>
  </si>
  <si>
    <t>CLAMPS TO ATTACH TH UMBILICAL TO STANDARD RISER JOINTS 6 5/8”</t>
  </si>
  <si>
    <t>CLAMPS TO ATTACH TH UMBILICAL TO RIG RISER JOINTS 5”</t>
  </si>
  <si>
    <t xml:space="preserve">10DRY14427 </t>
  </si>
  <si>
    <t>UMBILICAL CLAMP TRANSPORT BASKET</t>
  </si>
  <si>
    <t>CLAMP MAKE UP TOOL</t>
  </si>
  <si>
    <t>SHEAVES</t>
  </si>
  <si>
    <t>80° SHEAVE - HCR AND LUBRICATOR VALVE UMBILICAL</t>
  </si>
  <si>
    <t>MAIN SHEAVE - HCR UMBILICAL</t>
  </si>
  <si>
    <t>180º SHEAVE - HCR UMBILICAL</t>
  </si>
  <si>
    <t xml:space="preserve"> TDS-191</t>
  </si>
  <si>
    <t>MAIN SHEAVE - OS MODE UMBILICAL AND TH MODE UMBILICAL</t>
  </si>
  <si>
    <t>TDS-195</t>
  </si>
  <si>
    <t>180º SHEAVE - OS MODE UMBILICAL AND TH MODE UMBILICAL</t>
  </si>
  <si>
    <t>TDS-200 |TDS-198</t>
  </si>
  <si>
    <t>80° SHEAVE - OS MODE UMBILICAL AND TH MODE UMBILICAL</t>
  </si>
  <si>
    <t>TDS-204</t>
  </si>
  <si>
    <t xml:space="preserve">80º SHEAVE - CASED WEAR JOINT + DISPOSITIVO </t>
  </si>
  <si>
    <t>MANOBRA</t>
  </si>
  <si>
    <t>MAIN ELEVATOR</t>
  </si>
  <si>
    <t>MAIN ELEVATOR TRANSPORT SKID</t>
  </si>
  <si>
    <t>MAIN ELEVATOR MOUNTING FRAME</t>
  </si>
  <si>
    <t>SBR-009 A-01</t>
  </si>
  <si>
    <t>UPPER SPREADER BAR</t>
  </si>
  <si>
    <t>UPPER SPREADER BAR TRANSPORT SKID</t>
  </si>
  <si>
    <t>LONG BAILS 18M FOR SFT ELEVATOR</t>
  </si>
  <si>
    <t>LONG BAILS TRANSPORT BASKET</t>
  </si>
  <si>
    <t>RS-003</t>
  </si>
  <si>
    <t>RISER SPIDER</t>
  </si>
  <si>
    <t>RISER SPIDER CONTROL PANEL</t>
  </si>
  <si>
    <t>FG7-03</t>
  </si>
  <si>
    <t>RISER SPIDER HPU</t>
  </si>
  <si>
    <t>MLTU 1804126</t>
  </si>
  <si>
    <t>RISER SPIDER TRANSPORT SKID</t>
  </si>
  <si>
    <t>POWER TONG</t>
  </si>
  <si>
    <t>POWER TONG POSITIONER</t>
  </si>
  <si>
    <t>POWER TONG LIFT CYLINDER</t>
  </si>
  <si>
    <t>POWER TONG TRANSPORT SKID</t>
  </si>
  <si>
    <t>POWER TONG HPU - ELECTRICAL</t>
  </si>
  <si>
    <t>POWER TONG HPU - DIESEL</t>
  </si>
  <si>
    <t>TORQUE-MEASUREMENT SYSTEM</t>
  </si>
  <si>
    <t>DRILL PIPE RISER SLIPS</t>
  </si>
  <si>
    <t>STG-020</t>
  </si>
  <si>
    <t>DPR STABBING GUIDE</t>
  </si>
  <si>
    <t>MEL-002</t>
  </si>
  <si>
    <t>MANUAL ELEVATOR</t>
  </si>
  <si>
    <t>THRS TRANSPORT BASKET</t>
  </si>
  <si>
    <t>DOUBLE DOOR ELEVATOR</t>
  </si>
  <si>
    <t>DOUBLE DOOR ELEVATOR TRANSPORT BASKET</t>
  </si>
  <si>
    <t>RS-04</t>
  </si>
  <si>
    <t>DRILL PIPE RISER SLIPS 350 TON DPR 5K - CUNHA MANUAL 6.5/8¨</t>
  </si>
  <si>
    <t>CO-UTF3-010</t>
  </si>
  <si>
    <t>WORKSHOP CONTAINER</t>
  </si>
  <si>
    <t>DIVERSOS</t>
  </si>
  <si>
    <t>PIPT-010/011/003</t>
  </si>
  <si>
    <t>PIPE STAND</t>
  </si>
  <si>
    <t>R-16-15-26172</t>
  </si>
  <si>
    <t xml:space="preserve">SKID DE N2 </t>
  </si>
  <si>
    <t>HJ-006</t>
  </si>
  <si>
    <t>JUMPER  13F</t>
  </si>
  <si>
    <t>HJ-016</t>
  </si>
  <si>
    <t>JUMPER  10F</t>
  </si>
  <si>
    <t>HJ-034</t>
  </si>
  <si>
    <t>HOSE ASSEMBLY 1 IN ID X 25M LG</t>
  </si>
  <si>
    <t>HJ-021 | HJ-019</t>
  </si>
  <si>
    <t>JUMPER HCR 1”</t>
  </si>
  <si>
    <t xml:space="preserve">HJ-019 LOCALIZADO NA CESTA JA905 - RISER DECK </t>
  </si>
  <si>
    <t>EJ-010</t>
  </si>
  <si>
    <t>JUMPER PDG</t>
  </si>
  <si>
    <t>HJ-004</t>
  </si>
  <si>
    <t>JUMPER SFT</t>
  </si>
  <si>
    <t>HDBU 0141579</t>
  </si>
  <si>
    <t>CAIXA COM QUÍMICOS</t>
  </si>
  <si>
    <t xml:space="preserve">BOOSTER PUMP </t>
  </si>
  <si>
    <t>CRO-050</t>
  </si>
  <si>
    <t>XO DPR XT-MF69 (CAIXA) X 6 5/8" - NC50 - PINO</t>
  </si>
  <si>
    <t>XO DPR XT-MF69 X FH PINO</t>
  </si>
  <si>
    <t>XO DPR XT-MF69 X 6 5/8" - VAM HP PINO</t>
  </si>
  <si>
    <t>TEST PIN XT-MF69</t>
  </si>
  <si>
    <t>TSB-003</t>
  </si>
  <si>
    <t xml:space="preserve">TEST BOX XT-MF69 - CAP 25 TON DPR 5K </t>
  </si>
  <si>
    <t>PÓRTICOS (trave de sustentação das sheaves).</t>
  </si>
  <si>
    <t>PUP JOINT 15'</t>
  </si>
  <si>
    <t>BX-001/BX-002</t>
  </si>
  <si>
    <t>INSERTO 7 1/8" PARA BX 4</t>
  </si>
  <si>
    <t>EAX-003</t>
  </si>
  <si>
    <t xml:space="preserve"> ELEVATOR AUXILIAR </t>
  </si>
  <si>
    <t>BS-01 | BS-02</t>
  </si>
  <si>
    <t>CENTRALIZADOR</t>
  </si>
  <si>
    <t>NHJU 2021132</t>
  </si>
  <si>
    <t>CONTAINER 20FT ( CWJ 5K2 )</t>
  </si>
  <si>
    <t>HDBU 0142554</t>
  </si>
  <si>
    <t>BOMBONAS DE HW</t>
  </si>
  <si>
    <t>9 BOMBONAS NOVAS</t>
  </si>
  <si>
    <t>GABARITO 5,03</t>
  </si>
  <si>
    <t>TEST PIN XT-MF69 HIGH TORQUE CAP 25 TN DPR 5KII ASSEMBLY</t>
  </si>
  <si>
    <t>SFTUC-008</t>
  </si>
  <si>
    <t>SFT UPPER CROSSOVER TEST PIN 8 1/4 STUB ACME</t>
  </si>
  <si>
    <t>SSUB-002</t>
  </si>
  <si>
    <t>SAVE SUB SFT</t>
  </si>
  <si>
    <t>TANQUE HTU</t>
  </si>
  <si>
    <t>HTU-3002</t>
  </si>
  <si>
    <t>TANQUE FU</t>
  </si>
  <si>
    <t>FU-3001</t>
  </si>
  <si>
    <t xml:space="preserve">CONTAINER 20FT </t>
  </si>
  <si>
    <t>KH421</t>
  </si>
  <si>
    <t>CONTAINER 10FT</t>
  </si>
  <si>
    <t>CONTAINER DE SHEAVE</t>
  </si>
  <si>
    <t>CONTAINER QUIMICO</t>
  </si>
  <si>
    <t>PPJ-003</t>
  </si>
  <si>
    <t>PUP 15"</t>
  </si>
  <si>
    <t>OBSERVAÇÃO: HÁ UM XO NO ESTALEIRO IMPOSSIBILITANDO REALIZAR CONFERÊNCIA DE ATIVO</t>
  </si>
  <si>
    <t>Raphael Dellatore</t>
  </si>
  <si>
    <t>Data  teste de carga</t>
  </si>
  <si>
    <t>Data da Inspeção</t>
  </si>
  <si>
    <t>Erico Martins</t>
  </si>
  <si>
    <t>Vinicius Pereira</t>
  </si>
  <si>
    <t>ID Eslinga</t>
  </si>
  <si>
    <t>Especificação da Eslinga</t>
  </si>
  <si>
    <t>Validade da Eslinga</t>
  </si>
  <si>
    <t>Data Cert. equip. / Skid</t>
  </si>
  <si>
    <t>Validade teste carga equip. / skid</t>
  </si>
  <si>
    <t>Localização da Eslinga</t>
  </si>
  <si>
    <t>CARRETEL TH</t>
  </si>
  <si>
    <t>188157/1</t>
  </si>
  <si>
    <t>Pipe Deck -BE</t>
  </si>
  <si>
    <t xml:space="preserve">UNIDADE DE POTÊNCIA HIDRÁULICA </t>
  </si>
  <si>
    <t>BC-2526034</t>
  </si>
  <si>
    <t>4 x 19mm _ 4.75T</t>
  </si>
  <si>
    <t>CO-UTF3-10</t>
  </si>
  <si>
    <t>CABINE DE CONTROLE</t>
  </si>
  <si>
    <t>569-SM</t>
  </si>
  <si>
    <t>4 x 29mm _ 12T</t>
  </si>
  <si>
    <t>FU</t>
  </si>
  <si>
    <t>BC-11850</t>
  </si>
  <si>
    <t>4x 22mm_4.75T</t>
  </si>
  <si>
    <t>PNL</t>
  </si>
  <si>
    <t>11326546-0-2-001</t>
  </si>
  <si>
    <t>SKID N2</t>
  </si>
  <si>
    <t>104416/0018</t>
  </si>
  <si>
    <t>CAIXA DE QUÍMICOS</t>
  </si>
  <si>
    <t>35365-3</t>
  </si>
  <si>
    <t>4 x 19mm _ 9,5T</t>
  </si>
  <si>
    <t>Há um balde de graxa dentro do PNL</t>
  </si>
  <si>
    <t xml:space="preserve">NHJU2021132
</t>
  </si>
  <si>
    <t>CONTAINER 20"</t>
  </si>
  <si>
    <t>NHJU-202113</t>
  </si>
  <si>
    <t>30/04/2026</t>
  </si>
  <si>
    <t>CWJ/Ferramentas e Eslingas 7/8"</t>
  </si>
  <si>
    <t>Pipe Deck - BE</t>
  </si>
  <si>
    <t>Certificado: 574076</t>
  </si>
  <si>
    <t>JA-533</t>
  </si>
  <si>
    <t>CESTA (JUMPER)</t>
  </si>
  <si>
    <t>SES12A/00052</t>
  </si>
  <si>
    <t>4 x 26mm _ 8.5T</t>
  </si>
  <si>
    <t>09/07/206</t>
  </si>
  <si>
    <t>jumpers 13f, 10f e retorno, em operação</t>
  </si>
  <si>
    <t>10DRY14427</t>
  </si>
  <si>
    <t>Container de CLAMPS</t>
  </si>
  <si>
    <t>4 X 9.8m _ 10T</t>
  </si>
  <si>
    <t>KH332</t>
  </si>
  <si>
    <t xml:space="preserve">CONTAINER BOMONAS </t>
  </si>
  <si>
    <t>SES120/00036</t>
  </si>
  <si>
    <t>Pipe Deck - BB</t>
  </si>
  <si>
    <t>HW-525 _ Retorno e Vazia</t>
  </si>
  <si>
    <t>35372/16</t>
  </si>
  <si>
    <t>4x29mm _ 12T</t>
  </si>
  <si>
    <t>HW-525 _ 10 Novas</t>
  </si>
  <si>
    <t>CONTAINER SHEAVES</t>
  </si>
  <si>
    <t xml:space="preserve"> SOS12A/00624</t>
  </si>
  <si>
    <t>4x26mm _ 12T</t>
  </si>
  <si>
    <t>Polias</t>
  </si>
  <si>
    <t>DNVU2004720</t>
  </si>
  <si>
    <t>CONTAINER</t>
  </si>
  <si>
    <t>Xos, Protetores, Elev. Manual, 4 mangueias de ar 1"</t>
  </si>
  <si>
    <t>CESTA COFLEX</t>
  </si>
  <si>
    <t>SOS12A/00116</t>
  </si>
  <si>
    <t>Coflex, Jumper SFT e Jumper HCR 1"</t>
  </si>
  <si>
    <t>ESLINGA DA COFLEX</t>
  </si>
  <si>
    <t>L6-46081</t>
  </si>
  <si>
    <t>CESTA JA905</t>
  </si>
  <si>
    <t>ESLINGA DE DUAS PERNAS ELEVADOR AUXILIAR</t>
  </si>
  <si>
    <t>Container de Quimico</t>
  </si>
  <si>
    <t>Unidade hidráulica Riser Spider</t>
  </si>
  <si>
    <t>4 x 13mm _ 4.3T</t>
  </si>
  <si>
    <t>16/08/2025</t>
  </si>
  <si>
    <t>Cert. 5929/24</t>
  </si>
  <si>
    <t>Eslinga do riser spider</t>
  </si>
  <si>
    <t>Cert. 5818/24</t>
  </si>
  <si>
    <t>BOMBA BOOSTER (MANÔMETROS)</t>
  </si>
  <si>
    <t>MN-4025 _  MN-5181 _ 7.188.84</t>
  </si>
  <si>
    <t>BOMBA BOOSTER (RELIEF VALVE)</t>
  </si>
  <si>
    <t>ESLINGA DE TUBOS DPR</t>
  </si>
  <si>
    <t>BC06</t>
  </si>
  <si>
    <t>7\21/2026</t>
  </si>
  <si>
    <t>Tubos de transbordo SS-73</t>
  </si>
  <si>
    <t>BC50683</t>
  </si>
  <si>
    <t>BC05</t>
  </si>
  <si>
    <t>PUP 20'</t>
  </si>
  <si>
    <t>BC03</t>
  </si>
  <si>
    <t>BC62</t>
  </si>
  <si>
    <t>BC53877</t>
  </si>
  <si>
    <t>BC50479</t>
  </si>
  <si>
    <t>BC67A</t>
  </si>
  <si>
    <t>BC947</t>
  </si>
  <si>
    <t>BC15</t>
  </si>
  <si>
    <t>BC100</t>
  </si>
  <si>
    <t>BC2416565</t>
  </si>
  <si>
    <t>BC-04</t>
  </si>
  <si>
    <t>BC50495</t>
  </si>
  <si>
    <t>BC2416440</t>
  </si>
  <si>
    <t>BC70</t>
  </si>
  <si>
    <t>BC38</t>
  </si>
  <si>
    <t>BC-26</t>
  </si>
  <si>
    <t>BC10</t>
  </si>
  <si>
    <t>BC938</t>
  </si>
  <si>
    <t>BC79</t>
  </si>
  <si>
    <t>BC2416429</t>
  </si>
  <si>
    <t>BC53922</t>
  </si>
  <si>
    <t>BC53905</t>
  </si>
  <si>
    <t>BC104</t>
  </si>
  <si>
    <t>BC53919</t>
  </si>
  <si>
    <t>BC2416568</t>
  </si>
  <si>
    <t>BC53914</t>
  </si>
  <si>
    <t>BC30</t>
  </si>
  <si>
    <t>BC53895</t>
  </si>
  <si>
    <t>BC56</t>
  </si>
  <si>
    <t>BC928</t>
  </si>
  <si>
    <t>30278-NS-03</t>
  </si>
  <si>
    <t>21/07/2026</t>
  </si>
  <si>
    <t>BC917</t>
  </si>
  <si>
    <t>BC21</t>
  </si>
  <si>
    <t>BC53903</t>
  </si>
  <si>
    <t>BC14</t>
  </si>
  <si>
    <t>BC922</t>
  </si>
  <si>
    <t>21/07/26</t>
  </si>
  <si>
    <t>21/07/27</t>
  </si>
  <si>
    <t>21/07/28</t>
  </si>
  <si>
    <t>CONTAINER OPEN TOP - RISER SPIDER</t>
  </si>
  <si>
    <t>27848/43</t>
  </si>
  <si>
    <t>1.5MTB14576</t>
  </si>
  <si>
    <t>CESTA DE TRANSPORTE - QUÍMICO</t>
  </si>
  <si>
    <t>MLTU 200194</t>
  </si>
  <si>
    <t>CM-0360</t>
  </si>
  <si>
    <t>TS-004</t>
  </si>
  <si>
    <t>SKID SFT</t>
  </si>
  <si>
    <t>06/112026</t>
  </si>
  <si>
    <t>QNT</t>
  </si>
  <si>
    <t>DESCRIÇÃO</t>
  </si>
  <si>
    <t>APLICAÇÃO</t>
  </si>
  <si>
    <t>LOCALIZAÇÃO</t>
  </si>
  <si>
    <t>OBSERVAÇÃO</t>
  </si>
  <si>
    <t>MOBIL GEAR 600 XP 100</t>
  </si>
  <si>
    <t>Cabine de controles</t>
  </si>
  <si>
    <t>LUBRAX LITH EP2 (NLGI2)</t>
  </si>
  <si>
    <t>MP 507</t>
  </si>
  <si>
    <t>Uso Geral</t>
  </si>
  <si>
    <t>Desemgraxante</t>
  </si>
  <si>
    <t>KOPR-KOTE</t>
  </si>
  <si>
    <t>Rosca XTMF-69</t>
  </si>
  <si>
    <t>TELLUS 46</t>
  </si>
  <si>
    <t>BALDE PRETO</t>
  </si>
  <si>
    <t>CL031-017-01</t>
  </si>
  <si>
    <t>WD-40 SPRAY 300ML</t>
  </si>
  <si>
    <t>LIMPA CONTATO</t>
  </si>
  <si>
    <t>ÁLCOOL ISOPROPILICO - 500ml</t>
  </si>
  <si>
    <t>b</t>
  </si>
  <si>
    <t>MARKEY VERMELHO</t>
  </si>
  <si>
    <t>LOCTITE 243</t>
  </si>
  <si>
    <t>VG 10</t>
  </si>
  <si>
    <t>Lubrifil</t>
  </si>
  <si>
    <t>Óleo Padrão Pershy CS 1000 - 1L</t>
  </si>
  <si>
    <t>Protetor Solar</t>
  </si>
  <si>
    <t>HW-525</t>
  </si>
  <si>
    <t>CESTA CBAD-601 _ PIPE DECK</t>
  </si>
  <si>
    <t>ENERPAC HYDRAULIC OIL HF-100</t>
  </si>
  <si>
    <t>2L</t>
  </si>
  <si>
    <t>LUBRICANT TUFLUBE ALLWEATHER 18KG (ROCOL</t>
  </si>
  <si>
    <t>Rolamento</t>
  </si>
  <si>
    <t>5Kg</t>
  </si>
  <si>
    <t>SACO DE TRAPO</t>
  </si>
  <si>
    <t>LIMPEZA/DERRAMAMENTO</t>
  </si>
  <si>
    <t>SACO DE MANTA ABSORVENTE</t>
  </si>
  <si>
    <t>LUBRAX CALCIUM GR2</t>
  </si>
  <si>
    <t>LUBRAX CALCIUM ECO 2</t>
  </si>
  <si>
    <t>MOBILGEAR SHC XMP320 SINTHETIC WIND TURBINE</t>
  </si>
  <si>
    <t>ÓLEO DO MOTOR</t>
  </si>
  <si>
    <t>Óleo Hidráulico HF 101N (Enerpac)</t>
  </si>
  <si>
    <t>INTENSIFICADOR</t>
  </si>
  <si>
    <t>Óleo Hidráulico HF 100N (Enerpac)</t>
  </si>
  <si>
    <t>TELLUS S2 M</t>
  </si>
  <si>
    <t>PETRONAS TUTE</t>
  </si>
  <si>
    <t>LUBRICANT TUFLUBE ALLWEATHER 4KG</t>
  </si>
  <si>
    <t>GRAXA PARA ENGRENAGEM</t>
  </si>
  <si>
    <t>MOBILGEAR 636</t>
  </si>
  <si>
    <t>MOLYKOTE 1000</t>
  </si>
  <si>
    <t>CLAMPS</t>
  </si>
  <si>
    <t>OLEO NARO 32</t>
  </si>
  <si>
    <t>ENERPAC CARRETEL TH NO  PARA O INTENSIFICADOR</t>
  </si>
  <si>
    <t>GREASE RENOLITE EP2 12.5KG TRANSLUCENT B</t>
  </si>
  <si>
    <t>Opções de localização na sonda para Equipamentos</t>
  </si>
  <si>
    <t>Opções de localização na sonda para Eslingas</t>
  </si>
  <si>
    <t>Em operação</t>
  </si>
  <si>
    <t>Bombordo</t>
  </si>
  <si>
    <t>Booster pump</t>
  </si>
  <si>
    <t>Boreste</t>
  </si>
  <si>
    <t>Cabin Control</t>
  </si>
  <si>
    <t>Caixa de sobressalentes</t>
  </si>
  <si>
    <t>Cabine Sondador</t>
  </si>
  <si>
    <t>Control cabin</t>
  </si>
  <si>
    <t>Deck de transferência</t>
  </si>
  <si>
    <t>Double door elevator transport basket</t>
  </si>
  <si>
    <t>DPR crossover transport basket</t>
  </si>
  <si>
    <t>Dpr crossover transport basket</t>
  </si>
  <si>
    <t xml:space="preserve">Drill Floor </t>
  </si>
  <si>
    <t>Flexible flow line pipe transport basket</t>
  </si>
  <si>
    <t>Flying lead transport frame</t>
  </si>
  <si>
    <t>HCR annulus circulation reeler</t>
  </si>
  <si>
    <t>HPU w/ integrated open sea control panel</t>
  </si>
  <si>
    <t>Hub adapter transport skid</t>
  </si>
  <si>
    <t>Long bails transport basket</t>
  </si>
  <si>
    <t>Main Deck</t>
  </si>
  <si>
    <t>Lubricator valve control reeler</t>
  </si>
  <si>
    <t>Main elevator transport skid</t>
  </si>
  <si>
    <t>Moon Pool</t>
  </si>
  <si>
    <t>Main elevator mounting frame</t>
  </si>
  <si>
    <t>Popa</t>
  </si>
  <si>
    <t>Popa Bombordo</t>
  </si>
  <si>
    <t>Open sea reeler</t>
  </si>
  <si>
    <t>Popa Boreste</t>
  </si>
  <si>
    <t>Power tong transport skid</t>
  </si>
  <si>
    <t>Proa</t>
  </si>
  <si>
    <t>Proa Bombordo</t>
  </si>
  <si>
    <t>Proa Boreste</t>
  </si>
  <si>
    <t>Reeler</t>
  </si>
  <si>
    <t>Riser accessories transport basket</t>
  </si>
  <si>
    <t>Riser spider transport skid</t>
  </si>
  <si>
    <t>ROV Bombordo</t>
  </si>
  <si>
    <t>ROV Boreste</t>
  </si>
  <si>
    <t>Sacaria</t>
  </si>
  <si>
    <t>Sala dos Técnicos</t>
  </si>
  <si>
    <t>Stress joint transport skid</t>
  </si>
  <si>
    <t>Surface flow tree transport skid</t>
  </si>
  <si>
    <t>THRS transport basket</t>
  </si>
  <si>
    <t>Trolley</t>
  </si>
  <si>
    <t>Umbilical clamp transport basket</t>
  </si>
  <si>
    <t>Upper spreader bar transport skid</t>
  </si>
  <si>
    <t>Tubing hanger control panel</t>
  </si>
  <si>
    <t>Workshop Container</t>
  </si>
  <si>
    <t>Tubing hanger reeler</t>
  </si>
  <si>
    <t>Workshop container</t>
  </si>
  <si>
    <t>TOTAL QTY.</t>
  </si>
  <si>
    <t>DESCRIPTION</t>
  </si>
  <si>
    <t>PART NUMBER</t>
  </si>
  <si>
    <t>ELECTRICAL JUMPER 4 QUAD 200M FOR REMOTE DHPT READING</t>
  </si>
  <si>
    <t>0495020</t>
  </si>
  <si>
    <t>ELECTRICAL JUMPER 2 QUAD 200M FOR REMOTE DHPT READING</t>
  </si>
  <si>
    <t>0495027</t>
  </si>
  <si>
    <t>HYDRAULIC ADAPTER FOR CONNECTION 2 ANNULUS CIRCULATION LINE X STRESS JOINT</t>
  </si>
  <si>
    <t>0495037</t>
  </si>
  <si>
    <t>HYDRAULIC JUMPER KIT - DPR 5K</t>
  </si>
  <si>
    <t>0495012</t>
  </si>
  <si>
    <t>TEST DEVICES - DPR 5K</t>
  </si>
  <si>
    <t>0498235</t>
  </si>
  <si>
    <t>SPARE PARTS - DPR 5K</t>
  </si>
  <si>
    <t>0498236</t>
  </si>
  <si>
    <t>CONTROLE DE MANGUEIRAS</t>
  </si>
  <si>
    <t>Realizado por:</t>
  </si>
  <si>
    <t> </t>
  </si>
  <si>
    <t> NS-43</t>
  </si>
  <si>
    <t>Dia:</t>
  </si>
  <si>
    <t>20/11/2025</t>
  </si>
  <si>
    <t>Supervisor:</t>
  </si>
  <si>
    <t>ITEM</t>
  </si>
  <si>
    <t>MEDIDAS</t>
  </si>
  <si>
    <t>CERTIFICADO</t>
  </si>
  <si>
    <t>DATA CERTIFICAÇÃO</t>
  </si>
  <si>
    <t>VALIDADE</t>
  </si>
  <si>
    <t>PRESSÃO DE TRAB.</t>
  </si>
  <si>
    <t>OBSERVAÇÕES</t>
  </si>
  <si>
    <t>  HOSE ASSEMBLY 1 IN ID X 25M LG</t>
  </si>
  <si>
    <t xml:space="preserve">Sem identificação </t>
  </si>
  <si>
    <t xml:space="preserve">Retorno </t>
  </si>
  <si>
    <t>1/4" x 25m</t>
  </si>
  <si>
    <t>18469/2025</t>
  </si>
  <si>
    <t> 25/06/2025</t>
  </si>
  <si>
    <t>18000 psi</t>
  </si>
  <si>
    <t> MANGUEIRA MICROPERFURADA PARA NITROGÊNIO</t>
  </si>
  <si>
    <t>MI048.77</t>
  </si>
  <si>
    <t>1' x 25m</t>
  </si>
  <si>
    <t>  03/09/2025</t>
  </si>
  <si>
    <t>300psi</t>
  </si>
  <si>
    <t>Mangueira de ar</t>
  </si>
  <si>
    <t>  MI048.73</t>
  </si>
  <si>
    <t> Mangueira de ar</t>
  </si>
  <si>
    <t>  MI048.74</t>
  </si>
  <si>
    <t> 300psi</t>
  </si>
  <si>
    <t>  MI048.71</t>
  </si>
  <si>
    <t>  300psi</t>
  </si>
  <si>
    <t> MI048.78</t>
  </si>
  <si>
    <t>  MI048.79</t>
  </si>
  <si>
    <t>  Mangueira de ar</t>
  </si>
  <si>
    <t>  MI048.80</t>
  </si>
  <si>
    <t>3/8" x 15m</t>
  </si>
  <si>
    <t>16753/2025</t>
  </si>
  <si>
    <t>10.000 psi</t>
  </si>
  <si>
    <t>Container de Ferramentas/Cabine</t>
  </si>
  <si>
    <t>3/8" x 15,73m</t>
  </si>
  <si>
    <t>13457/2025</t>
  </si>
  <si>
    <t>13/02/2026</t>
  </si>
  <si>
    <t>5.000 psi</t>
  </si>
  <si>
    <t> Container de Ferramentas/Cabine</t>
  </si>
  <si>
    <t xml:space="preserve">1/4" x 15m </t>
  </si>
  <si>
    <t>16752/2025</t>
  </si>
  <si>
    <t xml:space="preserve"> 12/5/2025</t>
  </si>
  <si>
    <t xml:space="preserve"> 12/5/2026</t>
  </si>
  <si>
    <t>16755/2025</t>
  </si>
  <si>
    <t> 12/05/2025</t>
  </si>
  <si>
    <t>3/8" x 3,09m</t>
  </si>
  <si>
    <t>13425/2025</t>
  </si>
  <si>
    <t>13/02/2025</t>
  </si>
  <si>
    <t xml:space="preserve"> 13/02/2026</t>
  </si>
  <si>
    <t>3/8 x 3,25m</t>
  </si>
  <si>
    <t>13454/2025</t>
  </si>
  <si>
    <t>3/8" x 1,61m</t>
  </si>
  <si>
    <t>13458/2025</t>
  </si>
  <si>
    <t>1/4" 3,1m</t>
  </si>
  <si>
    <t>7850/2024</t>
  </si>
  <si>
    <t>18.560 psi</t>
  </si>
  <si>
    <t>7846/2024</t>
  </si>
  <si>
    <t> 18.560 psi</t>
  </si>
  <si>
    <t>7855/2024</t>
  </si>
  <si>
    <t> 10.000 psi</t>
  </si>
  <si>
    <t>1/4" x 3,1m</t>
  </si>
  <si>
    <t>7851/2024</t>
  </si>
  <si>
    <t>7852/2024</t>
  </si>
  <si>
    <t xml:space="preserve">1/4'' 15 m </t>
  </si>
  <si>
    <t>48731-4</t>
  </si>
  <si>
    <t>1 "x 25m</t>
  </si>
  <si>
    <t>12012/2024</t>
  </si>
  <si>
    <t xml:space="preserve"> 10/12/2025</t>
  </si>
  <si>
    <t>150 psi</t>
  </si>
  <si>
    <t> Mangueira de Ar.
Container de Ferramentas/Cabine</t>
  </si>
  <si>
    <t>7-RO-190H-RJS</t>
  </si>
  <si>
    <t xml:space="preserve">YASMIN FERREIRA </t>
  </si>
  <si>
    <t>TDR-STR-0004</t>
  </si>
  <si>
    <t>TDR</t>
  </si>
  <si>
    <t>MT-04</t>
  </si>
  <si>
    <t>MULTIMETRO</t>
  </si>
  <si>
    <t>Riser deck</t>
  </si>
  <si>
    <t>MT-15</t>
  </si>
  <si>
    <t>ME-34</t>
  </si>
  <si>
    <t>MEGÔMETRO</t>
  </si>
  <si>
    <t>ME-09</t>
  </si>
  <si>
    <t>TQ-15</t>
  </si>
  <si>
    <t>TORQUÍMETRO para CWJ</t>
  </si>
  <si>
    <t>TQ-38</t>
  </si>
  <si>
    <t xml:space="preserve">TORQUIMETRO 40-200 N.m </t>
  </si>
  <si>
    <t>PQ-10</t>
  </si>
  <si>
    <t>PAQUÍMETRO</t>
  </si>
  <si>
    <t>PQ-19</t>
  </si>
  <si>
    <t>PQ-09</t>
  </si>
  <si>
    <t>TORQUÍMENTRO DO KIT CLAMPS (TLCMP-007)</t>
  </si>
  <si>
    <t>21/08/2026</t>
  </si>
  <si>
    <t>LEGENDA:</t>
  </si>
  <si>
    <t>60 DIAS OU MAIS PARA O VENCIMENTO</t>
  </si>
  <si>
    <t>MENOS DE 60 DIAS PARA O VENCIMENTO</t>
  </si>
  <si>
    <t>VENCIDO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</si>
</sst>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"/>
    <numFmt numFmtId="165" formatCode="dd/mm/yy;@"/>
  </numFmts>
  <fonts count="3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6"/>
      <color rgb="FFFFFFFF"/>
      <name val="Aptos Narrow"/>
      <family val="2"/>
    </font>
    <font>
      <b/>
      <sz val="16"/>
      <name val="Aptos Narrow"/>
      <family val="2"/>
    </font>
    <font>
      <u/>
      <sz val="16"/>
      <color rgb="FFFFFFFF"/>
      <name val="Aptos Narrow"/>
      <family val="2"/>
    </font>
    <font>
      <b/>
      <sz val="14"/>
      <name val="Aptos Narrow"/>
      <family val="2"/>
    </font>
    <font>
      <sz val="16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2"/>
      <color rgb="FFFF0000"/>
      <name val="Calibri"/>
      <family val="2"/>
      <scheme val="minor"/>
    </font>
    <font>
      <b/>
      <sz val="12"/>
      <color rgb="FF0D0D0D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9B60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156082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7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rgb="FF44B3E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0">
    <xf numFmtId="0" fontId="0" fillId="0" borderId="0" xfId="0"/>
    <xf numFmtId="0" fontId="0" fillId="0" borderId="0" xfId="0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31" xfId="0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24" xfId="0" applyBorder="1" applyProtection="1">
      <protection hidden="1"/>
    </xf>
    <xf numFmtId="0" fontId="0" fillId="0" borderId="25" xfId="0" applyBorder="1" applyProtection="1">
      <protection hidden="1"/>
    </xf>
    <xf numFmtId="0" fontId="9" fillId="0" borderId="25" xfId="0" applyFont="1" applyBorder="1" applyAlignment="1" applyProtection="1">
      <alignment vertical="center"/>
      <protection hidden="1"/>
    </xf>
    <xf numFmtId="0" fontId="4" fillId="0" borderId="25" xfId="0" applyFont="1" applyBorder="1" applyProtection="1">
      <protection hidden="1"/>
    </xf>
    <xf numFmtId="0" fontId="4" fillId="0" borderId="25" xfId="0" applyFont="1" applyBorder="1" applyAlignment="1" applyProtection="1">
      <alignment vertical="center"/>
      <protection hidden="1"/>
    </xf>
    <xf numFmtId="0" fontId="4" fillId="0" borderId="17" xfId="0" applyFont="1" applyBorder="1" applyProtection="1">
      <protection hidden="1"/>
    </xf>
    <xf numFmtId="0" fontId="9" fillId="0" borderId="17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0" fillId="0" borderId="3" xfId="0" applyBorder="1" applyAlignment="1" applyProtection="1">
      <alignment vertical="center"/>
      <protection hidden="1"/>
    </xf>
    <xf numFmtId="0" fontId="6" fillId="0" borderId="37" xfId="0" applyFont="1" applyBorder="1" applyAlignment="1" applyProtection="1">
      <alignment horizontal="center" vertical="top" wrapText="1"/>
      <protection hidden="1"/>
    </xf>
    <xf numFmtId="0" fontId="6" fillId="0" borderId="36" xfId="0" applyFont="1" applyBorder="1" applyAlignment="1" applyProtection="1">
      <alignment horizontal="center" vertical="top" wrapText="1"/>
      <protection hidden="1"/>
    </xf>
    <xf numFmtId="0" fontId="6" fillId="0" borderId="38" xfId="0" applyFont="1" applyBorder="1" applyAlignment="1" applyProtection="1">
      <alignment horizontal="center" vertical="top" wrapText="1"/>
      <protection hidden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 wrapText="1"/>
    </xf>
    <xf numFmtId="0" fontId="4" fillId="0" borderId="0" xfId="0" applyFont="1"/>
    <xf numFmtId="164" fontId="0" fillId="0" borderId="16" xfId="0" applyNumberFormat="1" applyBorder="1" applyAlignment="1" applyProtection="1">
      <alignment horizontal="center" vertical="center"/>
      <protection locked="0"/>
    </xf>
    <xf numFmtId="164" fontId="0" fillId="0" borderId="17" xfId="0" applyNumberFormat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164" fontId="0" fillId="0" borderId="14" xfId="0" applyNumberFormat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6" xfId="0" applyFill="1" applyBorder="1" applyAlignment="1" applyProtection="1">
      <alignment vertical="center"/>
      <protection hidden="1"/>
    </xf>
    <xf numFmtId="0" fontId="0" fillId="2" borderId="7" xfId="0" applyFill="1" applyBorder="1" applyAlignment="1" applyProtection="1">
      <alignment vertical="center"/>
      <protection hidden="1"/>
    </xf>
    <xf numFmtId="0" fontId="0" fillId="2" borderId="8" xfId="0" applyFill="1" applyBorder="1" applyAlignment="1" applyProtection="1">
      <alignment vertical="center"/>
      <protection hidden="1"/>
    </xf>
    <xf numFmtId="0" fontId="0" fillId="2" borderId="9" xfId="0" applyFill="1" applyBorder="1" applyAlignment="1" applyProtection="1">
      <alignment vertical="center"/>
      <protection hidden="1"/>
    </xf>
    <xf numFmtId="0" fontId="0" fillId="0" borderId="7" xfId="0" applyBorder="1" applyAlignment="1" applyProtection="1">
      <alignment vertical="center"/>
      <protection hidden="1"/>
    </xf>
    <xf numFmtId="0" fontId="0" fillId="0" borderId="8" xfId="0" applyBorder="1" applyAlignment="1" applyProtection="1">
      <alignment vertical="center"/>
      <protection hidden="1"/>
    </xf>
    <xf numFmtId="164" fontId="0" fillId="0" borderId="25" xfId="0" applyNumberFormat="1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6" fillId="0" borderId="38" xfId="0" applyFont="1" applyBorder="1" applyAlignment="1" applyProtection="1">
      <alignment horizontal="center" vertical="top" wrapText="1"/>
      <protection locked="0"/>
    </xf>
    <xf numFmtId="0" fontId="12" fillId="2" borderId="24" xfId="0" applyFont="1" applyFill="1" applyBorder="1" applyAlignment="1" applyProtection="1">
      <alignment horizontal="center" vertical="center"/>
      <protection hidden="1"/>
    </xf>
    <xf numFmtId="0" fontId="6" fillId="0" borderId="26" xfId="0" applyFont="1" applyBorder="1" applyAlignment="1" applyProtection="1">
      <alignment horizontal="center" vertical="center"/>
      <protection locked="0"/>
    </xf>
    <xf numFmtId="164" fontId="6" fillId="0" borderId="24" xfId="0" applyNumberFormat="1" applyFont="1" applyBorder="1" applyAlignment="1">
      <alignment horizontal="center" vertical="center"/>
    </xf>
    <xf numFmtId="0" fontId="6" fillId="0" borderId="26" xfId="0" applyFont="1" applyBorder="1" applyAlignment="1" applyProtection="1">
      <alignment horizontal="center" vertical="center"/>
      <protection hidden="1"/>
    </xf>
    <xf numFmtId="0" fontId="12" fillId="2" borderId="25" xfId="0" applyFont="1" applyFill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locked="0"/>
    </xf>
    <xf numFmtId="164" fontId="6" fillId="0" borderId="16" xfId="0" applyNumberFormat="1" applyFont="1" applyBorder="1" applyAlignment="1">
      <alignment horizontal="center" vertical="center"/>
    </xf>
    <xf numFmtId="164" fontId="6" fillId="0" borderId="25" xfId="0" applyNumberFormat="1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center"/>
      <protection hidden="1"/>
    </xf>
    <xf numFmtId="3" fontId="6" fillId="0" borderId="27" xfId="0" applyNumberFormat="1" applyFont="1" applyBorder="1" applyAlignment="1" applyProtection="1">
      <alignment horizontal="center" vertical="center"/>
      <protection locked="0"/>
    </xf>
    <xf numFmtId="164" fontId="6" fillId="0" borderId="25" xfId="0" applyNumberFormat="1" applyFont="1" applyBorder="1" applyAlignment="1">
      <alignment horizontal="center" vertical="center"/>
    </xf>
    <xf numFmtId="164" fontId="6" fillId="0" borderId="35" xfId="0" applyNumberFormat="1" applyFont="1" applyBorder="1" applyAlignment="1">
      <alignment horizontal="center" vertical="center"/>
    </xf>
    <xf numFmtId="164" fontId="6" fillId="0" borderId="33" xfId="0" applyNumberFormat="1" applyFont="1" applyBorder="1" applyAlignment="1" applyProtection="1">
      <alignment horizontal="center" vertical="center"/>
      <protection locked="0"/>
    </xf>
    <xf numFmtId="14" fontId="6" fillId="0" borderId="25" xfId="0" applyNumberFormat="1" applyFont="1" applyBorder="1" applyAlignment="1" applyProtection="1">
      <alignment horizontal="center" vertical="center"/>
      <protection locked="0"/>
    </xf>
    <xf numFmtId="14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hidden="1"/>
    </xf>
    <xf numFmtId="0" fontId="6" fillId="0" borderId="28" xfId="0" applyFont="1" applyBorder="1" applyAlignment="1" applyProtection="1">
      <alignment horizontal="center" vertical="center"/>
      <protection locked="0"/>
    </xf>
    <xf numFmtId="164" fontId="6" fillId="0" borderId="17" xfId="0" applyNumberFormat="1" applyFont="1" applyBorder="1" applyAlignment="1">
      <alignment horizontal="center" vertical="center"/>
    </xf>
    <xf numFmtId="0" fontId="6" fillId="0" borderId="17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hidden="1"/>
    </xf>
    <xf numFmtId="0" fontId="12" fillId="2" borderId="35" xfId="0" applyFont="1" applyFill="1" applyBorder="1" applyAlignment="1" applyProtection="1">
      <alignment horizontal="center" vertical="center"/>
      <protection hidden="1"/>
    </xf>
    <xf numFmtId="0" fontId="6" fillId="0" borderId="33" xfId="0" applyFont="1" applyBorder="1" applyAlignment="1" applyProtection="1">
      <alignment horizontal="center" vertical="center"/>
      <protection locked="0"/>
    </xf>
    <xf numFmtId="164" fontId="6" fillId="0" borderId="14" xfId="0" applyNumberFormat="1" applyFont="1" applyBorder="1" applyAlignment="1">
      <alignment horizontal="center" vertical="center"/>
    </xf>
    <xf numFmtId="0" fontId="6" fillId="0" borderId="35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hidden="1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hidden="1"/>
    </xf>
    <xf numFmtId="164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 applyProtection="1">
      <alignment horizontal="center" vertical="center"/>
      <protection locked="0"/>
    </xf>
    <xf numFmtId="164" fontId="14" fillId="0" borderId="24" xfId="0" applyNumberFormat="1" applyFont="1" applyBorder="1" applyAlignment="1">
      <alignment horizontal="center" vertical="center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164" fontId="14" fillId="0" borderId="25" xfId="0" applyNumberFormat="1" applyFont="1" applyBorder="1" applyAlignment="1">
      <alignment horizontal="center" vertical="center"/>
    </xf>
    <xf numFmtId="164" fontId="14" fillId="0" borderId="35" xfId="0" applyNumberFormat="1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164" fontId="14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hidden="1"/>
    </xf>
    <xf numFmtId="0" fontId="6" fillId="0" borderId="9" xfId="0" applyFont="1" applyBorder="1" applyAlignment="1" applyProtection="1">
      <alignment horizontal="center" vertical="center"/>
      <protection locked="0"/>
    </xf>
    <xf numFmtId="164" fontId="6" fillId="0" borderId="13" xfId="0" applyNumberFormat="1" applyFont="1" applyBorder="1" applyAlignment="1">
      <alignment horizontal="center" vertical="center"/>
    </xf>
    <xf numFmtId="14" fontId="6" fillId="0" borderId="17" xfId="0" applyNumberFormat="1" applyFont="1" applyBorder="1" applyAlignment="1" applyProtection="1">
      <alignment horizontal="center" vertical="center"/>
      <protection locked="0"/>
    </xf>
    <xf numFmtId="3" fontId="14" fillId="0" borderId="40" xfId="0" applyNumberFormat="1" applyFont="1" applyBorder="1" applyAlignment="1" applyProtection="1">
      <alignment horizontal="center" vertical="center"/>
      <protection locked="0"/>
    </xf>
    <xf numFmtId="14" fontId="6" fillId="0" borderId="14" xfId="0" applyNumberFormat="1" applyFont="1" applyBorder="1" applyAlignment="1" applyProtection="1">
      <alignment horizontal="center" vertical="center"/>
      <protection locked="0"/>
    </xf>
    <xf numFmtId="14" fontId="6" fillId="0" borderId="13" xfId="0" applyNumberFormat="1" applyFont="1" applyBorder="1" applyAlignment="1" applyProtection="1">
      <alignment horizontal="center" vertical="center"/>
      <protection locked="0"/>
    </xf>
    <xf numFmtId="164" fontId="6" fillId="0" borderId="15" xfId="0" applyNumberFormat="1" applyFont="1" applyBorder="1" applyAlignment="1">
      <alignment horizontal="center" vertical="center"/>
    </xf>
    <xf numFmtId="0" fontId="6" fillId="0" borderId="19" xfId="0" applyFont="1" applyBorder="1" applyAlignment="1" applyProtection="1">
      <alignment horizontal="center" vertical="center" wrapText="1"/>
      <protection locked="0"/>
    </xf>
    <xf numFmtId="164" fontId="6" fillId="0" borderId="14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hidden="1"/>
    </xf>
    <xf numFmtId="164" fontId="6" fillId="0" borderId="1" xfId="0" applyNumberFormat="1" applyFont="1" applyBorder="1" applyAlignment="1">
      <alignment horizontal="center" vertical="center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6" fillId="0" borderId="30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3" fontId="6" fillId="0" borderId="28" xfId="0" applyNumberFormat="1" applyFont="1" applyBorder="1" applyAlignment="1" applyProtection="1">
      <alignment horizontal="center" vertical="center"/>
      <protection locked="0"/>
    </xf>
    <xf numFmtId="3" fontId="6" fillId="0" borderId="33" xfId="0" applyNumberFormat="1" applyFont="1" applyBorder="1" applyAlignment="1" applyProtection="1">
      <alignment horizontal="center" vertical="center"/>
      <protection locked="0"/>
    </xf>
    <xf numFmtId="3" fontId="6" fillId="0" borderId="22" xfId="0" applyNumberFormat="1" applyFont="1" applyBorder="1" applyAlignment="1" applyProtection="1">
      <alignment horizontal="center" vertical="center"/>
      <protection locked="0"/>
    </xf>
    <xf numFmtId="14" fontId="6" fillId="0" borderId="24" xfId="0" applyNumberFormat="1" applyFont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5" borderId="1" xfId="0" applyFont="1" applyFill="1" applyBorder="1" applyAlignment="1" applyProtection="1">
      <alignment horizontal="center" vertical="center"/>
      <protection hidden="1"/>
    </xf>
    <xf numFmtId="0" fontId="6" fillId="6" borderId="1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0" fillId="0" borderId="3" xfId="0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2" fillId="2" borderId="25" xfId="0" applyFont="1" applyFill="1" applyBorder="1" applyAlignment="1" applyProtection="1">
      <alignment horizontal="center" vertical="center"/>
      <protection hidden="1"/>
    </xf>
    <xf numFmtId="0" fontId="2" fillId="2" borderId="17" xfId="0" applyFont="1" applyFill="1" applyBorder="1" applyAlignment="1" applyProtection="1">
      <alignment horizontal="center" vertical="center"/>
      <protection hidden="1"/>
    </xf>
    <xf numFmtId="0" fontId="13" fillId="0" borderId="9" xfId="0" applyFont="1" applyBorder="1" applyAlignment="1" applyProtection="1">
      <alignment horizontal="center" vertical="center" textRotation="90"/>
      <protection hidden="1"/>
    </xf>
    <xf numFmtId="165" fontId="6" fillId="0" borderId="24" xfId="0" applyNumberFormat="1" applyFont="1" applyBorder="1" applyAlignment="1" applyProtection="1">
      <alignment horizontal="center" vertical="center"/>
      <protection locked="0"/>
    </xf>
    <xf numFmtId="165" fontId="6" fillId="0" borderId="25" xfId="0" applyNumberFormat="1" applyFont="1" applyBorder="1" applyAlignment="1" applyProtection="1">
      <alignment horizontal="center" vertical="center"/>
      <protection locked="0"/>
    </xf>
    <xf numFmtId="165" fontId="6" fillId="0" borderId="16" xfId="0" applyNumberFormat="1" applyFont="1" applyBorder="1" applyAlignment="1" applyProtection="1">
      <alignment horizontal="center" vertical="center"/>
      <protection locked="0"/>
    </xf>
    <xf numFmtId="165" fontId="6" fillId="0" borderId="17" xfId="0" applyNumberFormat="1" applyFont="1" applyBorder="1" applyAlignment="1" applyProtection="1">
      <alignment horizontal="center" vertical="center"/>
      <protection locked="0"/>
    </xf>
    <xf numFmtId="165" fontId="6" fillId="0" borderId="35" xfId="0" applyNumberFormat="1" applyFont="1" applyBorder="1" applyAlignment="1" applyProtection="1">
      <alignment horizontal="center" vertical="center"/>
      <protection locked="0"/>
    </xf>
    <xf numFmtId="165" fontId="6" fillId="0" borderId="14" xfId="0" applyNumberFormat="1" applyFont="1" applyBorder="1" applyAlignment="1" applyProtection="1">
      <alignment horizontal="center" vertical="center"/>
      <protection locked="0"/>
    </xf>
    <xf numFmtId="165" fontId="6" fillId="0" borderId="15" xfId="0" applyNumberFormat="1" applyFont="1" applyBorder="1" applyAlignment="1" applyProtection="1">
      <alignment horizontal="center" vertical="center"/>
      <protection locked="0"/>
    </xf>
    <xf numFmtId="165" fontId="6" fillId="0" borderId="13" xfId="0" applyNumberFormat="1" applyFont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16" fillId="2" borderId="2" xfId="0" applyFont="1" applyFill="1" applyBorder="1" applyAlignment="1" applyProtection="1">
      <alignment horizontal="center" vertical="center" wrapText="1"/>
      <protection hidden="1"/>
    </xf>
    <xf numFmtId="0" fontId="16" fillId="2" borderId="4" xfId="0" applyFont="1" applyFill="1" applyBorder="1" applyAlignment="1" applyProtection="1">
      <alignment horizontal="center" vertical="center" wrapText="1"/>
      <protection hidden="1"/>
    </xf>
    <xf numFmtId="0" fontId="6" fillId="0" borderId="12" xfId="0" applyFont="1" applyBorder="1" applyAlignment="1" applyProtection="1">
      <alignment horizontal="center" vertical="center"/>
      <protection locked="0"/>
    </xf>
    <xf numFmtId="0" fontId="16" fillId="2" borderId="13" xfId="0" applyFont="1" applyFill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center"/>
      <protection locked="0" hidden="1"/>
    </xf>
    <xf numFmtId="164" fontId="6" fillId="0" borderId="23" xfId="0" applyNumberFormat="1" applyFont="1" applyBorder="1" applyAlignment="1" applyProtection="1">
      <alignment horizontal="center" vertical="center"/>
      <protection locked="0"/>
    </xf>
    <xf numFmtId="164" fontId="6" fillId="0" borderId="30" xfId="0" applyNumberFormat="1" applyFont="1" applyBorder="1" applyAlignment="1" applyProtection="1">
      <alignment horizontal="center" vertical="center"/>
      <protection locked="0"/>
    </xf>
    <xf numFmtId="14" fontId="6" fillId="0" borderId="23" xfId="0" applyNumberFormat="1" applyFont="1" applyBorder="1" applyAlignment="1" applyProtection="1">
      <alignment horizontal="center" vertical="center"/>
      <protection locked="0"/>
    </xf>
    <xf numFmtId="16" fontId="6" fillId="0" borderId="16" xfId="0" applyNumberFormat="1" applyFont="1" applyBorder="1" applyAlignment="1" applyProtection="1">
      <alignment horizontal="center" vertical="center"/>
      <protection locked="0"/>
    </xf>
    <xf numFmtId="164" fontId="6" fillId="0" borderId="0" xfId="0" applyNumberFormat="1" applyFont="1" applyAlignment="1" applyProtection="1">
      <alignment horizontal="center" vertical="center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0" fontId="6" fillId="4" borderId="15" xfId="0" applyFont="1" applyFill="1" applyBorder="1" applyAlignment="1" applyProtection="1">
      <alignment horizontal="center" vertical="center"/>
      <protection hidden="1"/>
    </xf>
    <xf numFmtId="0" fontId="16" fillId="2" borderId="15" xfId="0" applyFont="1" applyFill="1" applyBorder="1" applyAlignment="1" applyProtection="1">
      <alignment vertical="center" wrapText="1"/>
      <protection hidden="1"/>
    </xf>
    <xf numFmtId="0" fontId="16" fillId="2" borderId="14" xfId="0" applyFont="1" applyFill="1" applyBorder="1" applyAlignment="1" applyProtection="1">
      <alignment vertical="center" wrapText="1"/>
      <protection hidden="1"/>
    </xf>
    <xf numFmtId="0" fontId="6" fillId="0" borderId="29" xfId="0" applyFont="1" applyBorder="1" applyAlignment="1" applyProtection="1">
      <alignment horizontal="center" vertical="top" wrapText="1"/>
      <protection locked="0"/>
    </xf>
    <xf numFmtId="14" fontId="6" fillId="7" borderId="0" xfId="0" applyNumberFormat="1" applyFont="1" applyFill="1" applyAlignment="1" applyProtection="1">
      <alignment horizontal="center" vertical="center"/>
      <protection locked="0"/>
    </xf>
    <xf numFmtId="0" fontId="18" fillId="7" borderId="0" xfId="0" applyFont="1" applyFill="1" applyProtection="1">
      <protection hidden="1"/>
    </xf>
    <xf numFmtId="0" fontId="18" fillId="7" borderId="40" xfId="0" applyFont="1" applyFill="1" applyBorder="1" applyAlignment="1" applyProtection="1">
      <alignment horizontal="center" vertical="center"/>
      <protection locked="0"/>
    </xf>
    <xf numFmtId="0" fontId="18" fillId="0" borderId="0" xfId="0" applyFont="1" applyProtection="1">
      <protection hidden="1"/>
    </xf>
    <xf numFmtId="0" fontId="6" fillId="7" borderId="40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hidden="1"/>
    </xf>
    <xf numFmtId="164" fontId="22" fillId="0" borderId="33" xfId="0" applyNumberFormat="1" applyFont="1" applyBorder="1" applyAlignment="1" applyProtection="1">
      <alignment horizontal="center" vertical="center"/>
      <protection locked="0"/>
    </xf>
    <xf numFmtId="14" fontId="6" fillId="0" borderId="40" xfId="0" applyNumberFormat="1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left" vertical="center" wrapText="1"/>
      <protection locked="0"/>
    </xf>
    <xf numFmtId="0" fontId="6" fillId="0" borderId="27" xfId="0" applyFont="1" applyBorder="1" applyAlignment="1" applyProtection="1">
      <alignment horizontal="left" vertical="center" wrapText="1"/>
      <protection locked="0"/>
    </xf>
    <xf numFmtId="0" fontId="6" fillId="0" borderId="30" xfId="0" applyFont="1" applyBorder="1" applyAlignment="1" applyProtection="1">
      <alignment horizontal="left" vertical="center" wrapText="1"/>
      <protection locked="0"/>
    </xf>
    <xf numFmtId="12" fontId="6" fillId="0" borderId="25" xfId="0" applyNumberFormat="1" applyFont="1" applyBorder="1" applyAlignment="1" applyProtection="1">
      <alignment horizontal="center" vertical="center"/>
      <protection locked="0"/>
    </xf>
    <xf numFmtId="0" fontId="23" fillId="0" borderId="27" xfId="0" applyFont="1" applyBorder="1" applyAlignment="1" applyProtection="1">
      <alignment horizontal="center" vertical="center"/>
      <protection locked="0"/>
    </xf>
    <xf numFmtId="0" fontId="6" fillId="8" borderId="42" xfId="0" applyFont="1" applyFill="1" applyBorder="1" applyAlignment="1" applyProtection="1">
      <alignment horizontal="center" vertical="center"/>
      <protection locked="0"/>
    </xf>
    <xf numFmtId="0" fontId="6" fillId="8" borderId="27" xfId="0" applyFont="1" applyFill="1" applyBorder="1" applyAlignment="1" applyProtection="1">
      <alignment horizontal="center" vertical="center"/>
      <protection locked="0"/>
    </xf>
    <xf numFmtId="0" fontId="6" fillId="8" borderId="43" xfId="0" applyFont="1" applyFill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 hidden="1"/>
    </xf>
    <xf numFmtId="0" fontId="6" fillId="0" borderId="40" xfId="0" applyFont="1" applyBorder="1" applyAlignment="1" applyProtection="1">
      <alignment horizontal="center" vertical="center"/>
      <protection locked="0"/>
    </xf>
    <xf numFmtId="0" fontId="21" fillId="9" borderId="45" xfId="0" applyFont="1" applyFill="1" applyBorder="1" applyAlignment="1" applyProtection="1">
      <alignment horizontal="left" vertical="center"/>
      <protection locked="0"/>
    </xf>
    <xf numFmtId="0" fontId="21" fillId="0" borderId="50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6" fillId="7" borderId="43" xfId="0" applyFont="1" applyFill="1" applyBorder="1" applyAlignment="1" applyProtection="1">
      <alignment horizontal="center" vertical="center"/>
      <protection locked="0"/>
    </xf>
    <xf numFmtId="0" fontId="21" fillId="7" borderId="47" xfId="0" applyFont="1" applyFill="1" applyBorder="1" applyAlignment="1">
      <alignment horizontal="center" vertical="center"/>
    </xf>
    <xf numFmtId="0" fontId="26" fillId="11" borderId="0" xfId="0" applyFont="1" applyFill="1"/>
    <xf numFmtId="0" fontId="27" fillId="10" borderId="0" xfId="0" applyFont="1" applyFill="1"/>
    <xf numFmtId="0" fontId="25" fillId="10" borderId="0" xfId="0" applyFont="1" applyFill="1"/>
    <xf numFmtId="0" fontId="26" fillId="11" borderId="58" xfId="0" applyFont="1" applyFill="1" applyBorder="1"/>
    <xf numFmtId="0" fontId="26" fillId="11" borderId="60" xfId="0" applyFont="1" applyFill="1" applyBorder="1"/>
    <xf numFmtId="0" fontId="28" fillId="11" borderId="52" xfId="0" applyFont="1" applyFill="1" applyBorder="1"/>
    <xf numFmtId="0" fontId="28" fillId="11" borderId="0" xfId="0" applyFont="1" applyFill="1"/>
    <xf numFmtId="0" fontId="18" fillId="7" borderId="40" xfId="0" applyFont="1" applyFill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 vertical="center"/>
      <protection locked="0"/>
    </xf>
    <xf numFmtId="164" fontId="19" fillId="7" borderId="0" xfId="0" applyNumberFormat="1" applyFont="1" applyFill="1" applyAlignment="1" applyProtection="1">
      <alignment horizontal="center" vertical="center"/>
      <protection locked="0"/>
    </xf>
    <xf numFmtId="0" fontId="6" fillId="8" borderId="0" xfId="0" applyFont="1" applyFill="1" applyAlignment="1" applyProtection="1">
      <alignment horizontal="center" vertical="center"/>
      <protection locked="0"/>
    </xf>
    <xf numFmtId="0" fontId="18" fillId="7" borderId="0" xfId="0" applyFont="1" applyFill="1" applyAlignment="1" applyProtection="1">
      <alignment horizontal="center" vertical="center"/>
      <protection locked="0"/>
    </xf>
    <xf numFmtId="14" fontId="18" fillId="7" borderId="40" xfId="0" applyNumberFormat="1" applyFont="1" applyFill="1" applyBorder="1" applyAlignment="1" applyProtection="1">
      <alignment horizontal="center" vertical="center"/>
      <protection locked="0"/>
    </xf>
    <xf numFmtId="0" fontId="6" fillId="0" borderId="26" xfId="0" quotePrefix="1" applyFont="1" applyBorder="1" applyAlignment="1" applyProtection="1">
      <alignment horizontal="center" vertical="center"/>
      <protection locked="0"/>
    </xf>
    <xf numFmtId="0" fontId="6" fillId="0" borderId="25" xfId="0" quotePrefix="1" applyFont="1" applyBorder="1" applyAlignment="1" applyProtection="1">
      <alignment horizontal="center" vertical="center"/>
      <protection locked="0"/>
    </xf>
    <xf numFmtId="0" fontId="13" fillId="7" borderId="40" xfId="0" applyFont="1" applyFill="1" applyBorder="1" applyAlignment="1" applyProtection="1">
      <alignment horizontal="center" vertical="center"/>
      <protection locked="0"/>
    </xf>
    <xf numFmtId="14" fontId="26" fillId="11" borderId="0" xfId="0" applyNumberFormat="1" applyFont="1" applyFill="1"/>
    <xf numFmtId="0" fontId="6" fillId="7" borderId="40" xfId="0" applyFont="1" applyFill="1" applyBorder="1" applyAlignment="1" applyProtection="1">
      <alignment horizontal="center" vertical="center" wrapText="1"/>
      <protection locked="0"/>
    </xf>
    <xf numFmtId="0" fontId="21" fillId="7" borderId="0" xfId="0" applyFont="1" applyFill="1" applyAlignment="1">
      <alignment horizontal="center" vertical="center"/>
    </xf>
    <xf numFmtId="0" fontId="6" fillId="0" borderId="46" xfId="0" applyFont="1" applyBorder="1" applyAlignment="1" applyProtection="1">
      <alignment horizontal="center" vertical="center"/>
      <protection locked="0"/>
    </xf>
    <xf numFmtId="164" fontId="18" fillId="0" borderId="40" xfId="0" applyNumberFormat="1" applyFont="1" applyBorder="1" applyAlignment="1" applyProtection="1">
      <alignment horizontal="center" vertical="center"/>
      <protection locked="0"/>
    </xf>
    <xf numFmtId="0" fontId="6" fillId="0" borderId="65" xfId="0" applyFont="1" applyBorder="1" applyAlignment="1" applyProtection="1">
      <alignment horizontal="center" vertical="center"/>
      <protection locked="0"/>
    </xf>
    <xf numFmtId="0" fontId="25" fillId="10" borderId="59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67" xfId="0" applyBorder="1" applyProtection="1">
      <protection hidden="1"/>
    </xf>
    <xf numFmtId="0" fontId="16" fillId="2" borderId="68" xfId="0" applyFont="1" applyFill="1" applyBorder="1" applyAlignment="1" applyProtection="1">
      <alignment horizontal="center" vertical="center" wrapText="1"/>
      <protection hidden="1"/>
    </xf>
    <xf numFmtId="0" fontId="16" fillId="2" borderId="70" xfId="0" applyFont="1" applyFill="1" applyBorder="1" applyAlignment="1" applyProtection="1">
      <alignment horizontal="center" vertical="center" wrapText="1"/>
      <protection hidden="1"/>
    </xf>
    <xf numFmtId="0" fontId="0" fillId="0" borderId="64" xfId="0" applyBorder="1" applyProtection="1">
      <protection hidden="1"/>
    </xf>
    <xf numFmtId="0" fontId="0" fillId="0" borderId="64" xfId="0" applyBorder="1"/>
    <xf numFmtId="0" fontId="18" fillId="0" borderId="0" xfId="0" applyFont="1" applyAlignment="1" applyProtection="1">
      <alignment horizontal="center" vertical="center"/>
      <protection hidden="1"/>
    </xf>
    <xf numFmtId="14" fontId="6" fillId="7" borderId="40" xfId="0" applyNumberFormat="1" applyFont="1" applyFill="1" applyBorder="1" applyAlignment="1" applyProtection="1">
      <alignment horizontal="center" vertical="center"/>
      <protection locked="0"/>
    </xf>
    <xf numFmtId="0" fontId="6" fillId="7" borderId="46" xfId="0" applyFont="1" applyFill="1" applyBorder="1" applyAlignment="1" applyProtection="1">
      <alignment horizontal="center" vertical="center"/>
      <protection locked="0"/>
    </xf>
    <xf numFmtId="0" fontId="0" fillId="7" borderId="0" xfId="0" applyFill="1"/>
    <xf numFmtId="0" fontId="26" fillId="11" borderId="0" xfId="0" applyFont="1" applyFill="1" applyAlignment="1">
      <alignment horizontal="left"/>
    </xf>
    <xf numFmtId="0" fontId="25" fillId="10" borderId="0" xfId="0" applyFont="1" applyFill="1" applyAlignment="1">
      <alignment horizontal="left"/>
    </xf>
    <xf numFmtId="0" fontId="30" fillId="12" borderId="62" xfId="0" applyFont="1" applyFill="1" applyBorder="1" applyAlignment="1">
      <alignment horizontal="center" vertical="center"/>
    </xf>
    <xf numFmtId="0" fontId="30" fillId="12" borderId="63" xfId="0" applyFont="1" applyFill="1" applyBorder="1" applyAlignment="1">
      <alignment horizontal="center" vertical="center"/>
    </xf>
    <xf numFmtId="0" fontId="30" fillId="12" borderId="64" xfId="0" applyFont="1" applyFill="1" applyBorder="1" applyAlignment="1">
      <alignment horizontal="center" vertical="center"/>
    </xf>
    <xf numFmtId="0" fontId="30" fillId="12" borderId="61" xfId="0" applyFont="1" applyFill="1" applyBorder="1" applyAlignment="1">
      <alignment horizontal="center" vertical="center"/>
    </xf>
    <xf numFmtId="0" fontId="31" fillId="13" borderId="40" xfId="0" applyFont="1" applyFill="1" applyBorder="1" applyAlignment="1">
      <alignment horizontal="center" vertical="center"/>
    </xf>
    <xf numFmtId="14" fontId="31" fillId="13" borderId="40" xfId="0" applyNumberFormat="1" applyFont="1" applyFill="1" applyBorder="1" applyAlignment="1">
      <alignment horizontal="center" vertical="center"/>
    </xf>
    <xf numFmtId="0" fontId="31" fillId="13" borderId="55" xfId="0" applyFont="1" applyFill="1" applyBorder="1" applyAlignment="1">
      <alignment horizontal="center" vertical="center"/>
    </xf>
    <xf numFmtId="0" fontId="31" fillId="13" borderId="37" xfId="0" applyFont="1" applyFill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31" fillId="0" borderId="54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31" fillId="13" borderId="43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31" fillId="7" borderId="43" xfId="0" applyFont="1" applyFill="1" applyBorder="1" applyAlignment="1">
      <alignment horizontal="center" vertical="center"/>
    </xf>
    <xf numFmtId="0" fontId="31" fillId="7" borderId="37" xfId="0" applyFont="1" applyFill="1" applyBorder="1" applyAlignment="1">
      <alignment horizontal="center" vertical="center"/>
    </xf>
    <xf numFmtId="14" fontId="31" fillId="13" borderId="43" xfId="0" applyNumberFormat="1" applyFont="1" applyFill="1" applyBorder="1" applyAlignment="1">
      <alignment horizontal="center" vertical="center"/>
    </xf>
    <xf numFmtId="14" fontId="31" fillId="7" borderId="43" xfId="0" applyNumberFormat="1" applyFont="1" applyFill="1" applyBorder="1" applyAlignment="1">
      <alignment horizontal="center" vertical="center"/>
    </xf>
    <xf numFmtId="164" fontId="19" fillId="7" borderId="27" xfId="0" applyNumberFormat="1" applyFont="1" applyFill="1" applyBorder="1" applyAlignment="1" applyProtection="1">
      <alignment horizontal="center" vertical="center"/>
      <protection locked="0"/>
    </xf>
    <xf numFmtId="0" fontId="6" fillId="7" borderId="27" xfId="0" applyFont="1" applyFill="1" applyBorder="1" applyAlignment="1" applyProtection="1">
      <alignment horizontal="center" vertical="center"/>
      <protection locked="0"/>
    </xf>
    <xf numFmtId="14" fontId="6" fillId="0" borderId="27" xfId="0" applyNumberFormat="1" applyFont="1" applyBorder="1" applyAlignment="1" applyProtection="1">
      <alignment horizontal="center" vertical="center"/>
      <protection locked="0"/>
    </xf>
    <xf numFmtId="0" fontId="18" fillId="7" borderId="27" xfId="0" applyFont="1" applyFill="1" applyBorder="1" applyAlignment="1" applyProtection="1">
      <alignment horizontal="center" vertical="center"/>
      <protection locked="0"/>
    </xf>
    <xf numFmtId="0" fontId="18" fillId="7" borderId="43" xfId="0" applyFont="1" applyFill="1" applyBorder="1" applyAlignment="1" applyProtection="1">
      <alignment horizontal="center" vertical="center"/>
      <protection locked="0"/>
    </xf>
    <xf numFmtId="0" fontId="14" fillId="7" borderId="40" xfId="0" applyFont="1" applyFill="1" applyBorder="1" applyAlignment="1" applyProtection="1">
      <alignment horizontal="center" vertical="center"/>
      <protection locked="0"/>
    </xf>
    <xf numFmtId="0" fontId="32" fillId="7" borderId="40" xfId="0" applyFont="1" applyFill="1" applyBorder="1" applyAlignment="1" applyProtection="1">
      <alignment horizontal="center" vertical="center"/>
      <protection locked="0"/>
    </xf>
    <xf numFmtId="0" fontId="33" fillId="7" borderId="40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hidden="1"/>
    </xf>
    <xf numFmtId="0" fontId="3" fillId="2" borderId="11" xfId="0" applyFont="1" applyFill="1" applyBorder="1" applyAlignment="1" applyProtection="1">
      <alignment horizontal="center" vertical="center"/>
      <protection hidden="1"/>
    </xf>
    <xf numFmtId="0" fontId="3" fillId="2" borderId="12" xfId="0" applyFont="1" applyFill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14" fontId="6" fillId="0" borderId="10" xfId="0" applyNumberFormat="1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6" fillId="0" borderId="23" xfId="0" applyFont="1" applyBorder="1" applyAlignment="1" applyProtection="1">
      <alignment horizontal="left" vertical="center"/>
      <protection hidden="1"/>
    </xf>
    <xf numFmtId="0" fontId="6" fillId="0" borderId="27" xfId="0" applyFont="1" applyBorder="1" applyAlignment="1" applyProtection="1">
      <alignment horizontal="left" vertical="center"/>
      <protection hidden="1"/>
    </xf>
    <xf numFmtId="0" fontId="6" fillId="0" borderId="30" xfId="0" applyFont="1" applyBorder="1" applyAlignment="1" applyProtection="1">
      <alignment horizontal="left" vertical="center"/>
      <protection hidden="1"/>
    </xf>
    <xf numFmtId="0" fontId="13" fillId="0" borderId="23" xfId="0" applyFont="1" applyBorder="1" applyAlignment="1" applyProtection="1">
      <alignment horizontal="left" vertical="center"/>
      <protection hidden="1"/>
    </xf>
    <xf numFmtId="0" fontId="13" fillId="0" borderId="27" xfId="0" applyFont="1" applyBorder="1" applyAlignment="1" applyProtection="1">
      <alignment horizontal="left" vertical="center"/>
      <protection hidden="1"/>
    </xf>
    <xf numFmtId="0" fontId="13" fillId="0" borderId="30" xfId="0" applyFont="1" applyBorder="1" applyAlignment="1" applyProtection="1">
      <alignment horizontal="left" vertical="center"/>
      <protection hidden="1"/>
    </xf>
    <xf numFmtId="0" fontId="6" fillId="0" borderId="23" xfId="0" applyFont="1" applyBorder="1" applyAlignment="1" applyProtection="1">
      <alignment horizontal="left" vertical="center" wrapText="1"/>
      <protection locked="0"/>
    </xf>
    <xf numFmtId="0" fontId="6" fillId="0" borderId="27" xfId="0" applyFont="1" applyBorder="1" applyAlignment="1" applyProtection="1">
      <alignment horizontal="left" vertical="center" wrapText="1"/>
      <protection locked="0"/>
    </xf>
    <xf numFmtId="0" fontId="6" fillId="0" borderId="30" xfId="0" applyFont="1" applyBorder="1" applyAlignment="1" applyProtection="1">
      <alignment horizontal="left" vertical="center" wrapText="1"/>
      <protection locked="0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0" fillId="0" borderId="44" xfId="0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left" vertical="center"/>
      <protection locked="0" hidden="1"/>
    </xf>
    <xf numFmtId="0" fontId="6" fillId="0" borderId="27" xfId="0" applyFont="1" applyBorder="1" applyAlignment="1" applyProtection="1">
      <alignment horizontal="left" vertical="center"/>
      <protection locked="0" hidden="1"/>
    </xf>
    <xf numFmtId="0" fontId="6" fillId="0" borderId="30" xfId="0" applyFont="1" applyBorder="1" applyAlignment="1" applyProtection="1">
      <alignment horizontal="left" vertical="center"/>
      <protection locked="0" hidden="1"/>
    </xf>
    <xf numFmtId="0" fontId="14" fillId="0" borderId="22" xfId="0" applyFont="1" applyBorder="1" applyAlignment="1" applyProtection="1">
      <alignment horizontal="left" vertical="center"/>
      <protection hidden="1"/>
    </xf>
    <xf numFmtId="0" fontId="14" fillId="0" borderId="26" xfId="0" applyFont="1" applyBorder="1" applyAlignment="1" applyProtection="1">
      <alignment horizontal="left" vertical="center"/>
      <protection hidden="1"/>
    </xf>
    <xf numFmtId="0" fontId="14" fillId="0" borderId="29" xfId="0" applyFont="1" applyBorder="1" applyAlignment="1" applyProtection="1">
      <alignment horizontal="left" vertical="center"/>
      <protection hidden="1"/>
    </xf>
    <xf numFmtId="0" fontId="14" fillId="0" borderId="23" xfId="0" applyFont="1" applyBorder="1" applyAlignment="1" applyProtection="1">
      <alignment horizontal="left" vertical="center"/>
      <protection hidden="1"/>
    </xf>
    <xf numFmtId="0" fontId="14" fillId="0" borderId="27" xfId="0" applyFont="1" applyBorder="1" applyAlignment="1" applyProtection="1">
      <alignment horizontal="left" vertical="center"/>
      <protection hidden="1"/>
    </xf>
    <xf numFmtId="0" fontId="14" fillId="0" borderId="30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center" vertical="center" textRotation="90"/>
      <protection hidden="1"/>
    </xf>
    <xf numFmtId="0" fontId="13" fillId="0" borderId="14" xfId="0" applyFont="1" applyBorder="1" applyAlignment="1" applyProtection="1">
      <alignment horizontal="center" vertical="center" textRotation="90"/>
      <protection hidden="1"/>
    </xf>
    <xf numFmtId="0" fontId="13" fillId="0" borderId="15" xfId="0" applyFont="1" applyBorder="1" applyAlignment="1" applyProtection="1">
      <alignment horizontal="center" vertical="center" textRotation="90"/>
      <protection hidden="1"/>
    </xf>
    <xf numFmtId="0" fontId="13" fillId="0" borderId="13" xfId="0" applyFont="1" applyBorder="1" applyAlignment="1" applyProtection="1">
      <alignment horizontal="center" vertical="center" textRotation="90" wrapText="1"/>
      <protection hidden="1"/>
    </xf>
    <xf numFmtId="0" fontId="13" fillId="0" borderId="14" xfId="0" applyFont="1" applyBorder="1" applyAlignment="1" applyProtection="1">
      <alignment horizontal="center" vertical="center" textRotation="90" wrapText="1"/>
      <protection hidden="1"/>
    </xf>
    <xf numFmtId="0" fontId="13" fillId="0" borderId="5" xfId="0" applyFont="1" applyBorder="1" applyAlignment="1" applyProtection="1">
      <alignment horizontal="center" vertical="center" textRotation="90" wrapText="1"/>
      <protection hidden="1"/>
    </xf>
    <xf numFmtId="0" fontId="13" fillId="0" borderId="15" xfId="0" applyFont="1" applyBorder="1" applyAlignment="1" applyProtection="1">
      <alignment horizontal="center" vertical="center" textRotation="90" wrapText="1"/>
      <protection hidden="1"/>
    </xf>
    <xf numFmtId="0" fontId="13" fillId="0" borderId="13" xfId="0" applyFont="1" applyBorder="1" applyAlignment="1" applyProtection="1">
      <alignment horizontal="center" vertical="center" textRotation="90"/>
      <protection locked="0"/>
    </xf>
    <xf numFmtId="0" fontId="13" fillId="0" borderId="14" xfId="0" applyFont="1" applyBorder="1" applyAlignment="1" applyProtection="1">
      <alignment horizontal="center" vertical="center" textRotation="90"/>
      <protection locked="0"/>
    </xf>
    <xf numFmtId="0" fontId="13" fillId="0" borderId="15" xfId="0" applyFont="1" applyBorder="1" applyAlignment="1" applyProtection="1">
      <alignment horizontal="center" vertical="center" textRotation="90"/>
      <protection locked="0"/>
    </xf>
    <xf numFmtId="0" fontId="6" fillId="0" borderId="7" xfId="0" applyFont="1" applyBorder="1" applyAlignment="1" applyProtection="1">
      <alignment horizontal="left" vertical="center"/>
      <protection hidden="1"/>
    </xf>
    <xf numFmtId="0" fontId="6" fillId="0" borderId="8" xfId="0" applyFont="1" applyBorder="1" applyAlignment="1" applyProtection="1">
      <alignment horizontal="left" vertical="center"/>
      <protection hidden="1"/>
    </xf>
    <xf numFmtId="0" fontId="6" fillId="0" borderId="9" xfId="0" applyFont="1" applyBorder="1" applyAlignment="1" applyProtection="1">
      <alignment horizontal="left" vertical="center"/>
      <protection hidden="1"/>
    </xf>
    <xf numFmtId="0" fontId="6" fillId="0" borderId="22" xfId="0" applyFont="1" applyBorder="1" applyAlignment="1" applyProtection="1">
      <alignment horizontal="left" vertical="center"/>
      <protection hidden="1"/>
    </xf>
    <xf numFmtId="0" fontId="6" fillId="0" borderId="26" xfId="0" applyFont="1" applyBorder="1" applyAlignment="1" applyProtection="1">
      <alignment horizontal="left" vertical="center"/>
      <protection hidden="1"/>
    </xf>
    <xf numFmtId="0" fontId="6" fillId="0" borderId="29" xfId="0" applyFont="1" applyBorder="1" applyAlignment="1" applyProtection="1">
      <alignment horizontal="left" vertical="center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14" fillId="0" borderId="8" xfId="0" applyFont="1" applyBorder="1" applyAlignment="1" applyProtection="1">
      <alignment horizontal="left" vertical="center"/>
      <protection hidden="1"/>
    </xf>
    <xf numFmtId="0" fontId="14" fillId="0" borderId="9" xfId="0" applyFont="1" applyBorder="1" applyAlignment="1" applyProtection="1">
      <alignment horizontal="left" vertical="center"/>
      <protection hidden="1"/>
    </xf>
    <xf numFmtId="0" fontId="14" fillId="0" borderId="32" xfId="0" applyFont="1" applyBorder="1" applyAlignment="1" applyProtection="1">
      <alignment horizontal="left" vertical="center"/>
      <protection hidden="1"/>
    </xf>
    <xf numFmtId="0" fontId="14" fillId="0" borderId="33" xfId="0" applyFont="1" applyBorder="1" applyAlignment="1" applyProtection="1">
      <alignment horizontal="left" vertical="center"/>
      <protection hidden="1"/>
    </xf>
    <xf numFmtId="0" fontId="14" fillId="0" borderId="34" xfId="0" applyFont="1" applyBorder="1" applyAlignment="1" applyProtection="1">
      <alignment horizontal="left" vertical="center"/>
      <protection hidden="1"/>
    </xf>
    <xf numFmtId="0" fontId="15" fillId="0" borderId="23" xfId="0" applyFont="1" applyBorder="1" applyAlignment="1" applyProtection="1">
      <alignment horizontal="left" vertical="center"/>
      <protection hidden="1"/>
    </xf>
    <xf numFmtId="0" fontId="15" fillId="0" borderId="27" xfId="0" applyFont="1" applyBorder="1" applyAlignment="1" applyProtection="1">
      <alignment horizontal="left" vertical="center"/>
      <protection hidden="1"/>
    </xf>
    <xf numFmtId="0" fontId="15" fillId="0" borderId="30" xfId="0" applyFont="1" applyBorder="1" applyAlignment="1" applyProtection="1">
      <alignment horizontal="left" vertical="center"/>
      <protection hidden="1"/>
    </xf>
    <xf numFmtId="0" fontId="6" fillId="0" borderId="20" xfId="0" applyFont="1" applyBorder="1" applyAlignment="1" applyProtection="1">
      <alignment horizontal="left" vertical="center"/>
      <protection hidden="1"/>
    </xf>
    <xf numFmtId="0" fontId="6" fillId="0" borderId="28" xfId="0" applyFont="1" applyBorder="1" applyAlignment="1" applyProtection="1">
      <alignment horizontal="left" vertical="center"/>
      <protection hidden="1"/>
    </xf>
    <xf numFmtId="0" fontId="6" fillId="0" borderId="21" xfId="0" applyFont="1" applyBorder="1" applyAlignment="1" applyProtection="1">
      <alignment horizontal="left" vertical="center"/>
      <protection hidden="1"/>
    </xf>
    <xf numFmtId="0" fontId="6" fillId="0" borderId="32" xfId="0" applyFont="1" applyBorder="1" applyAlignment="1" applyProtection="1">
      <alignment horizontal="left" vertical="center"/>
      <protection hidden="1"/>
    </xf>
    <xf numFmtId="0" fontId="6" fillId="0" borderId="33" xfId="0" applyFont="1" applyBorder="1" applyAlignment="1" applyProtection="1">
      <alignment horizontal="left" vertical="center"/>
      <protection hidden="1"/>
    </xf>
    <xf numFmtId="0" fontId="6" fillId="0" borderId="34" xfId="0" applyFont="1" applyBorder="1" applyAlignment="1" applyProtection="1">
      <alignment horizontal="left" vertical="center"/>
      <protection hidden="1"/>
    </xf>
    <xf numFmtId="0" fontId="13" fillId="0" borderId="20" xfId="0" applyFont="1" applyBorder="1" applyAlignment="1" applyProtection="1">
      <alignment horizontal="left" vertical="center"/>
      <protection hidden="1"/>
    </xf>
    <xf numFmtId="0" fontId="13" fillId="0" borderId="28" xfId="0" applyFont="1" applyBorder="1" applyAlignment="1" applyProtection="1">
      <alignment horizontal="left" vertical="center"/>
      <protection hidden="1"/>
    </xf>
    <xf numFmtId="0" fontId="13" fillId="0" borderId="21" xfId="0" applyFont="1" applyBorder="1" applyAlignment="1" applyProtection="1">
      <alignment horizontal="left" vertical="center"/>
      <protection hidden="1"/>
    </xf>
    <xf numFmtId="0" fontId="13" fillId="0" borderId="18" xfId="0" applyFont="1" applyBorder="1" applyAlignment="1" applyProtection="1">
      <alignment horizontal="left" vertical="center"/>
      <protection hidden="1"/>
    </xf>
    <xf numFmtId="0" fontId="13" fillId="0" borderId="31" xfId="0" applyFont="1" applyBorder="1" applyAlignment="1" applyProtection="1">
      <alignment horizontal="left" vertical="center"/>
      <protection hidden="1"/>
    </xf>
    <xf numFmtId="0" fontId="13" fillId="0" borderId="19" xfId="0" applyFont="1" applyBorder="1" applyAlignment="1" applyProtection="1">
      <alignment horizontal="left" vertical="center"/>
      <protection hidden="1"/>
    </xf>
    <xf numFmtId="0" fontId="13" fillId="0" borderId="22" xfId="0" applyFont="1" applyBorder="1" applyAlignment="1" applyProtection="1">
      <alignment horizontal="left" vertical="center"/>
      <protection hidden="1"/>
    </xf>
    <xf numFmtId="0" fontId="13" fillId="0" borderId="26" xfId="0" applyFont="1" applyBorder="1" applyAlignment="1" applyProtection="1">
      <alignment horizontal="left" vertical="center"/>
      <protection hidden="1"/>
    </xf>
    <xf numFmtId="0" fontId="13" fillId="0" borderId="29" xfId="0" applyFont="1" applyBorder="1" applyAlignment="1" applyProtection="1">
      <alignment horizontal="left" vertical="center"/>
      <protection hidden="1"/>
    </xf>
    <xf numFmtId="0" fontId="16" fillId="2" borderId="5" xfId="0" applyFont="1" applyFill="1" applyBorder="1" applyAlignment="1" applyProtection="1">
      <alignment horizontal="center" vertical="center"/>
      <protection hidden="1"/>
    </xf>
    <xf numFmtId="0" fontId="16" fillId="2" borderId="6" xfId="0" applyFont="1" applyFill="1" applyBorder="1" applyAlignment="1" applyProtection="1">
      <alignment horizontal="center" vertical="center"/>
      <protection hidden="1"/>
    </xf>
    <xf numFmtId="0" fontId="16" fillId="2" borderId="18" xfId="0" applyFont="1" applyFill="1" applyBorder="1" applyAlignment="1" applyProtection="1">
      <alignment horizontal="center" vertical="center"/>
      <protection hidden="1"/>
    </xf>
    <xf numFmtId="0" fontId="16" fillId="2" borderId="19" xfId="0" applyFont="1" applyFill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top" wrapText="1"/>
      <protection locked="0"/>
    </xf>
    <xf numFmtId="0" fontId="6" fillId="0" borderId="29" xfId="0" applyFont="1" applyBorder="1" applyAlignment="1" applyProtection="1">
      <alignment horizontal="center" vertical="top" wrapText="1"/>
      <protection locked="0"/>
    </xf>
    <xf numFmtId="0" fontId="6" fillId="0" borderId="20" xfId="0" applyFont="1" applyBorder="1" applyAlignment="1" applyProtection="1">
      <alignment horizontal="center" vertical="top" wrapText="1"/>
      <protection locked="0"/>
    </xf>
    <xf numFmtId="0" fontId="6" fillId="0" borderId="21" xfId="0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16" fillId="2" borderId="2" xfId="0" applyFont="1" applyFill="1" applyBorder="1" applyAlignment="1" applyProtection="1">
      <alignment horizontal="center" vertical="center" wrapText="1"/>
      <protection hidden="1"/>
    </xf>
    <xf numFmtId="0" fontId="16" fillId="2" borderId="3" xfId="0" applyFont="1" applyFill="1" applyBorder="1" applyAlignment="1" applyProtection="1">
      <alignment horizontal="center" vertical="center" wrapText="1"/>
      <protection hidden="1"/>
    </xf>
    <xf numFmtId="0" fontId="16" fillId="2" borderId="4" xfId="0" applyFont="1" applyFill="1" applyBorder="1" applyAlignment="1" applyProtection="1">
      <alignment horizontal="center" vertical="center" wrapText="1"/>
      <protection hidden="1"/>
    </xf>
    <xf numFmtId="0" fontId="16" fillId="2" borderId="10" xfId="0" applyFont="1" applyFill="1" applyBorder="1" applyAlignment="1" applyProtection="1">
      <alignment horizontal="center" vertical="center" wrapText="1"/>
      <protection hidden="1"/>
    </xf>
    <xf numFmtId="0" fontId="16" fillId="2" borderId="12" xfId="0" applyFont="1" applyFill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hidden="1"/>
    </xf>
    <xf numFmtId="0" fontId="6" fillId="0" borderId="20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164" fontId="19" fillId="7" borderId="42" xfId="0" applyNumberFormat="1" applyFont="1" applyFill="1" applyBorder="1" applyAlignment="1" applyProtection="1">
      <alignment horizontal="center" vertical="center"/>
      <protection locked="0"/>
    </xf>
    <xf numFmtId="164" fontId="19" fillId="7" borderId="27" xfId="0" applyNumberFormat="1" applyFont="1" applyFill="1" applyBorder="1" applyAlignment="1" applyProtection="1">
      <alignment horizontal="center" vertical="center"/>
      <protection locked="0"/>
    </xf>
    <xf numFmtId="164" fontId="19" fillId="7" borderId="43" xfId="0" applyNumberFormat="1" applyFont="1" applyFill="1" applyBorder="1" applyAlignment="1" applyProtection="1">
      <alignment horizontal="center" vertical="center"/>
      <protection locked="0"/>
    </xf>
    <xf numFmtId="0" fontId="6" fillId="8" borderId="40" xfId="0" applyFont="1" applyFill="1" applyBorder="1" applyAlignment="1" applyProtection="1">
      <alignment horizontal="center" vertical="center"/>
      <protection locked="0"/>
    </xf>
    <xf numFmtId="0" fontId="6" fillId="8" borderId="42" xfId="0" applyFont="1" applyFill="1" applyBorder="1" applyAlignment="1" applyProtection="1">
      <alignment horizontal="center" vertical="center"/>
      <protection locked="0"/>
    </xf>
    <xf numFmtId="0" fontId="6" fillId="8" borderId="27" xfId="0" applyFont="1" applyFill="1" applyBorder="1" applyAlignment="1" applyProtection="1">
      <alignment horizontal="center" vertical="center"/>
      <protection locked="0"/>
    </xf>
    <xf numFmtId="0" fontId="6" fillId="8" borderId="43" xfId="0" applyFont="1" applyFill="1" applyBorder="1" applyAlignment="1" applyProtection="1">
      <alignment horizontal="center" vertical="center"/>
      <protection locked="0"/>
    </xf>
    <xf numFmtId="0" fontId="6" fillId="7" borderId="42" xfId="0" applyFont="1" applyFill="1" applyBorder="1" applyAlignment="1" applyProtection="1">
      <alignment horizontal="center" vertical="center"/>
      <protection locked="0"/>
    </xf>
    <xf numFmtId="0" fontId="6" fillId="7" borderId="27" xfId="0" applyFont="1" applyFill="1" applyBorder="1" applyAlignment="1" applyProtection="1">
      <alignment horizontal="center" vertical="center"/>
      <protection locked="0"/>
    </xf>
    <xf numFmtId="0" fontId="6" fillId="7" borderId="43" xfId="0" applyFont="1" applyFill="1" applyBorder="1" applyAlignment="1" applyProtection="1">
      <alignment horizontal="center" vertical="center"/>
      <protection locked="0"/>
    </xf>
    <xf numFmtId="164" fontId="19" fillId="7" borderId="48" xfId="0" applyNumberFormat="1" applyFont="1" applyFill="1" applyBorder="1" applyAlignment="1" applyProtection="1">
      <alignment horizontal="center" vertical="center"/>
      <protection locked="0"/>
    </xf>
    <xf numFmtId="164" fontId="19" fillId="7" borderId="49" xfId="0" applyNumberFormat="1" applyFont="1" applyFill="1" applyBorder="1" applyAlignment="1" applyProtection="1">
      <alignment horizontal="center" vertical="center"/>
      <protection locked="0"/>
    </xf>
    <xf numFmtId="164" fontId="19" fillId="7" borderId="50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hidden="1"/>
    </xf>
    <xf numFmtId="0" fontId="12" fillId="2" borderId="27" xfId="0" applyFont="1" applyFill="1" applyBorder="1" applyAlignment="1" applyProtection="1">
      <alignment horizontal="center" vertical="center"/>
      <protection hidden="1"/>
    </xf>
    <xf numFmtId="0" fontId="12" fillId="2" borderId="43" xfId="0" applyFont="1" applyFill="1" applyBorder="1" applyAlignment="1" applyProtection="1">
      <alignment horizontal="center" vertical="center"/>
      <protection hidden="1"/>
    </xf>
    <xf numFmtId="0" fontId="16" fillId="2" borderId="10" xfId="0" applyFont="1" applyFill="1" applyBorder="1" applyAlignment="1" applyProtection="1">
      <alignment horizontal="center" vertical="center"/>
      <protection hidden="1"/>
    </xf>
    <xf numFmtId="0" fontId="16" fillId="2" borderId="11" xfId="0" applyFont="1" applyFill="1" applyBorder="1" applyAlignment="1" applyProtection="1">
      <alignment horizontal="center" vertical="center"/>
      <protection hidden="1"/>
    </xf>
    <xf numFmtId="0" fontId="16" fillId="2" borderId="12" xfId="0" applyFont="1" applyFill="1" applyBorder="1" applyAlignment="1" applyProtection="1">
      <alignment horizontal="center" vertical="center"/>
      <protection hidden="1"/>
    </xf>
    <xf numFmtId="0" fontId="1" fillId="2" borderId="18" xfId="0" applyFont="1" applyFill="1" applyBorder="1" applyAlignment="1" applyProtection="1">
      <alignment horizontal="center" vertical="center"/>
      <protection hidden="1"/>
    </xf>
    <xf numFmtId="0" fontId="1" fillId="2" borderId="31" xfId="0" applyFont="1" applyFill="1" applyBorder="1" applyAlignment="1" applyProtection="1">
      <alignment horizontal="center" vertical="center"/>
      <protection hidden="1"/>
    </xf>
    <xf numFmtId="0" fontId="16" fillId="2" borderId="31" xfId="0" applyFont="1" applyFill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hidden="1"/>
    </xf>
    <xf numFmtId="14" fontId="6" fillId="0" borderId="10" xfId="0" applyNumberFormat="1" applyFont="1" applyBorder="1" applyAlignment="1" applyProtection="1">
      <alignment horizontal="center" vertical="center"/>
      <protection hidden="1"/>
    </xf>
    <xf numFmtId="14" fontId="6" fillId="0" borderId="11" xfId="0" applyNumberFormat="1" applyFont="1" applyBorder="1" applyAlignment="1" applyProtection="1">
      <alignment horizontal="center" vertical="center"/>
      <protection hidden="1"/>
    </xf>
    <xf numFmtId="14" fontId="6" fillId="0" borderId="12" xfId="0" applyNumberFormat="1" applyFont="1" applyBorder="1" applyAlignment="1" applyProtection="1">
      <alignment horizontal="center" vertical="center"/>
      <protection hidden="1"/>
    </xf>
    <xf numFmtId="164" fontId="19" fillId="0" borderId="48" xfId="0" applyNumberFormat="1" applyFont="1" applyBorder="1" applyAlignment="1" applyProtection="1">
      <alignment horizontal="center" vertical="center" wrapText="1"/>
      <protection locked="0"/>
    </xf>
    <xf numFmtId="164" fontId="19" fillId="0" borderId="49" xfId="0" applyNumberFormat="1" applyFont="1" applyBorder="1" applyAlignment="1" applyProtection="1">
      <alignment horizontal="center" vertical="center" wrapText="1"/>
      <protection locked="0"/>
    </xf>
    <xf numFmtId="164" fontId="19" fillId="0" borderId="50" xfId="0" applyNumberFormat="1" applyFont="1" applyBorder="1" applyAlignment="1" applyProtection="1">
      <alignment horizontal="center" vertical="center" wrapText="1"/>
      <protection locked="0"/>
    </xf>
    <xf numFmtId="164" fontId="0" fillId="0" borderId="20" xfId="0" applyNumberFormat="1" applyBorder="1" applyAlignment="1" applyProtection="1">
      <alignment horizontal="center" vertical="center"/>
      <protection locked="0"/>
    </xf>
    <xf numFmtId="164" fontId="0" fillId="0" borderId="28" xfId="0" applyNumberFormat="1" applyBorder="1" applyAlignment="1" applyProtection="1">
      <alignment horizontal="center" vertical="center"/>
      <protection locked="0"/>
    </xf>
    <xf numFmtId="164" fontId="0" fillId="0" borderId="21" xfId="0" applyNumberFormat="1" applyBorder="1" applyAlignment="1" applyProtection="1">
      <alignment horizontal="center" vertical="center"/>
      <protection locked="0"/>
    </xf>
    <xf numFmtId="164" fontId="0" fillId="0" borderId="23" xfId="0" applyNumberFormat="1" applyBorder="1" applyAlignment="1" applyProtection="1">
      <alignment horizontal="center" vertical="center"/>
      <protection locked="0"/>
    </xf>
    <xf numFmtId="164" fontId="0" fillId="0" borderId="27" xfId="0" applyNumberFormat="1" applyBorder="1" applyAlignment="1" applyProtection="1">
      <alignment horizontal="center" vertical="center"/>
      <protection locked="0"/>
    </xf>
    <xf numFmtId="164" fontId="0" fillId="0" borderId="30" xfId="0" applyNumberFormat="1" applyBorder="1" applyAlignment="1" applyProtection="1">
      <alignment horizontal="center" vertical="center"/>
      <protection locked="0"/>
    </xf>
    <xf numFmtId="164" fontId="6" fillId="0" borderId="23" xfId="0" applyNumberFormat="1" applyFont="1" applyBorder="1" applyAlignment="1" applyProtection="1">
      <alignment horizontal="center" vertical="center"/>
      <protection locked="0"/>
    </xf>
    <xf numFmtId="164" fontId="6" fillId="0" borderId="27" xfId="0" applyNumberFormat="1" applyFont="1" applyBorder="1" applyAlignment="1" applyProtection="1">
      <alignment horizontal="center" vertical="center"/>
      <protection locked="0"/>
    </xf>
    <xf numFmtId="164" fontId="6" fillId="0" borderId="30" xfId="0" applyNumberFormat="1" applyFont="1" applyBorder="1" applyAlignment="1" applyProtection="1">
      <alignment horizontal="center" vertical="center"/>
      <protection locked="0"/>
    </xf>
    <xf numFmtId="164" fontId="6" fillId="0" borderId="10" xfId="0" applyNumberFormat="1" applyFont="1" applyBorder="1" applyAlignment="1" applyProtection="1">
      <alignment horizontal="center" vertical="center"/>
      <protection locked="0"/>
    </xf>
    <xf numFmtId="164" fontId="6" fillId="0" borderId="12" xfId="0" applyNumberFormat="1" applyFont="1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/>
      <protection locked="0"/>
    </xf>
    <xf numFmtId="164" fontId="6" fillId="0" borderId="29" xfId="0" applyNumberFormat="1" applyFont="1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27" xfId="0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center" vertical="center" wrapText="1"/>
      <protection locked="0"/>
    </xf>
    <xf numFmtId="0" fontId="6" fillId="0" borderId="23" xfId="0" applyFont="1" applyBorder="1" applyAlignment="1" applyProtection="1">
      <alignment horizontal="center" vertical="center" wrapText="1"/>
      <protection locked="0"/>
    </xf>
    <xf numFmtId="0" fontId="6" fillId="0" borderId="27" xfId="0" applyFont="1" applyBorder="1" applyAlignment="1" applyProtection="1">
      <alignment horizontal="center" vertical="center" wrapText="1"/>
      <protection locked="0"/>
    </xf>
    <xf numFmtId="0" fontId="6" fillId="0" borderId="30" xfId="0" applyFont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0" borderId="21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6" fillId="0" borderId="39" xfId="0" applyFont="1" applyBorder="1" applyAlignment="1" applyProtection="1">
      <alignment horizontal="center" vertical="top" wrapText="1"/>
      <protection hidden="1"/>
    </xf>
    <xf numFmtId="0" fontId="1" fillId="2" borderId="19" xfId="0" applyFont="1" applyFill="1" applyBorder="1" applyAlignment="1" applyProtection="1">
      <alignment horizontal="center" vertical="center"/>
      <protection hidden="1"/>
    </xf>
    <xf numFmtId="0" fontId="6" fillId="0" borderId="40" xfId="0" applyFont="1" applyBorder="1" applyAlignment="1" applyProtection="1">
      <alignment horizontal="center" vertical="top" wrapText="1"/>
      <protection hidden="1"/>
    </xf>
    <xf numFmtId="14" fontId="0" fillId="0" borderId="10" xfId="0" applyNumberFormat="1" applyBorder="1" applyAlignment="1" applyProtection="1">
      <alignment horizontal="center" vertical="center"/>
      <protection hidden="1"/>
    </xf>
    <xf numFmtId="14" fontId="0" fillId="0" borderId="12" xfId="0" applyNumberFormat="1" applyBorder="1" applyAlignment="1" applyProtection="1">
      <alignment horizontal="center" vertical="center"/>
      <protection hidden="1"/>
    </xf>
    <xf numFmtId="0" fontId="6" fillId="0" borderId="41" xfId="0" applyFont="1" applyBorder="1" applyAlignment="1" applyProtection="1">
      <alignment horizontal="center" vertical="top" wrapText="1"/>
      <protection hidden="1"/>
    </xf>
    <xf numFmtId="0" fontId="16" fillId="2" borderId="11" xfId="0" applyFont="1" applyFill="1" applyBorder="1" applyAlignment="1" applyProtection="1">
      <alignment horizontal="center" vertical="center" wrapText="1"/>
      <protection hidden="1"/>
    </xf>
    <xf numFmtId="0" fontId="25" fillId="10" borderId="56" xfId="0" applyFont="1" applyFill="1" applyBorder="1" applyAlignment="1">
      <alignment horizontal="center"/>
    </xf>
    <xf numFmtId="0" fontId="25" fillId="10" borderId="57" xfId="0" applyFont="1" applyFill="1" applyBorder="1" applyAlignment="1">
      <alignment horizontal="center"/>
    </xf>
    <xf numFmtId="0" fontId="29" fillId="10" borderId="57" xfId="0" applyFont="1" applyFill="1" applyBorder="1" applyAlignment="1">
      <alignment textRotation="45"/>
    </xf>
    <xf numFmtId="0" fontId="29" fillId="10" borderId="0" xfId="0" applyFont="1" applyFill="1" applyAlignment="1">
      <alignment textRotation="45"/>
    </xf>
    <xf numFmtId="164" fontId="19" fillId="7" borderId="51" xfId="0" applyNumberFormat="1" applyFont="1" applyFill="1" applyBorder="1" applyAlignment="1" applyProtection="1">
      <alignment horizontal="center" vertical="center"/>
      <protection locked="0"/>
    </xf>
    <xf numFmtId="0" fontId="16" fillId="2" borderId="69" xfId="0" applyFont="1" applyFill="1" applyBorder="1" applyAlignment="1" applyProtection="1">
      <alignment horizontal="center" vertical="center" wrapText="1"/>
      <protection hidden="1"/>
    </xf>
    <xf numFmtId="0" fontId="16" fillId="2" borderId="64" xfId="0" applyFont="1" applyFill="1" applyBorder="1" applyAlignment="1" applyProtection="1">
      <alignment horizontal="center" vertical="center" wrapText="1"/>
      <protection hidden="1"/>
    </xf>
    <xf numFmtId="0" fontId="16" fillId="2" borderId="70" xfId="0" applyFont="1" applyFill="1" applyBorder="1" applyAlignment="1" applyProtection="1">
      <alignment horizontal="center" vertical="center" wrapText="1"/>
      <protection hidden="1"/>
    </xf>
    <xf numFmtId="164" fontId="19" fillId="0" borderId="48" xfId="0" applyNumberFormat="1" applyFont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50" xfId="0" applyNumberFormat="1" applyFont="1" applyBorder="1" applyAlignment="1" applyProtection="1">
      <alignment horizontal="center" vertical="center"/>
      <protection locked="0"/>
    </xf>
    <xf numFmtId="0" fontId="12" fillId="2" borderId="32" xfId="0" applyFont="1" applyFill="1" applyBorder="1" applyAlignment="1" applyProtection="1">
      <alignment horizontal="center" vertical="center"/>
      <protection hidden="1"/>
    </xf>
    <xf numFmtId="0" fontId="12" fillId="2" borderId="33" xfId="0" applyFont="1" applyFill="1" applyBorder="1" applyAlignment="1" applyProtection="1">
      <alignment horizontal="center" vertical="center"/>
      <protection hidden="1"/>
    </xf>
    <xf numFmtId="0" fontId="12" fillId="2" borderId="66" xfId="0" applyFont="1" applyFill="1" applyBorder="1" applyAlignment="1" applyProtection="1">
      <alignment horizontal="center" vertical="center"/>
      <protection hidden="1"/>
    </xf>
    <xf numFmtId="164" fontId="19" fillId="0" borderId="51" xfId="0" applyNumberFormat="1" applyFont="1" applyBorder="1" applyAlignment="1" applyProtection="1">
      <alignment horizontal="center" vertical="center"/>
      <protection locked="0"/>
    </xf>
    <xf numFmtId="0" fontId="25" fillId="10" borderId="59" xfId="0" applyFont="1" applyFill="1" applyBorder="1" applyAlignment="1"/>
    <xf numFmtId="0" fontId="25" fillId="10" borderId="0" xfId="0" applyFont="1" applyFill="1" applyAlignment="1"/>
  </cellXfs>
  <cellStyles count="1">
    <cellStyle name="Normal" xfId="0" builtinId="0"/>
  </cellStyles>
  <dxfs count="7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69B6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53929</xdr:colOff>
      <xdr:row>2</xdr:row>
      <xdr:rowOff>150576</xdr:rowOff>
    </xdr:from>
    <xdr:to>
      <xdr:col>4</xdr:col>
      <xdr:colOff>799486</xdr:colOff>
      <xdr:row>5</xdr:row>
      <xdr:rowOff>155338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58" y="262635"/>
          <a:ext cx="2536008" cy="6894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302559</xdr:colOff>
      <xdr:row>1</xdr:row>
      <xdr:rowOff>11206</xdr:rowOff>
    </xdr:from>
    <xdr:to>
      <xdr:col>4</xdr:col>
      <xdr:colOff>148130</xdr:colOff>
      <xdr:row>5</xdr:row>
      <xdr:rowOff>68837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358588" y="268941"/>
          <a:ext cx="2592613" cy="7956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</xdr:colOff>
      <xdr:row>2</xdr:row>
      <xdr:rowOff>264103</xdr:rowOff>
    </xdr:from>
    <xdr:to>
      <xdr:col>3</xdr:col>
      <xdr:colOff>878898</xdr:colOff>
      <xdr:row>5</xdr:row>
      <xdr:rowOff>101437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94" t="16081" r="9359" b="16737"/>
        <a:stretch/>
      </xdr:blipFill>
      <xdr:spPr>
        <a:xfrm>
          <a:off x="82261" y="376671"/>
          <a:ext cx="2346614" cy="5195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66675</xdr:rowOff>
    </xdr:from>
    <xdr:to>
      <xdr:col>4</xdr:col>
      <xdr:colOff>180975</xdr:colOff>
      <xdr:row>4</xdr:row>
      <xdr:rowOff>180975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22290620-899A-40C5-AA28-B3E38AAB44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657225" y="257175"/>
          <a:ext cx="23622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pageSetUpPr fitToPage="1"/>
  </sheetPr>
  <dimension ref="A1:X184"/>
  <sheetViews>
    <sheetView showGridLines="0" zoomScale="71" zoomScaleNormal="90" zoomScaleSheetLayoutView="85" workbookViewId="0">
      <pane xSplit="2" ySplit="11" topLeftCell="C105" activePane="bottomRight" state="frozen"/>
      <selection pane="bottomRight" activeCell="B9" sqref="B9:W9"/>
      <selection pane="bottomLeft" activeCell="K24" sqref="K24"/>
      <selection pane="topRight" activeCell="K24" sqref="K24"/>
    </sheetView>
  </sheetViews>
  <sheetFormatPr defaultColWidth="0" defaultRowHeight="15" zeroHeight="1"/>
  <cols>
    <col min="1" max="1" width="0.85546875" style="1" customWidth="1"/>
    <col min="2" max="2" width="9.28515625" style="3" bestFit="1" customWidth="1"/>
    <col min="3" max="4" width="8.7109375" style="3" customWidth="1"/>
    <col min="5" max="5" width="13.7109375" style="3" customWidth="1"/>
    <col min="6" max="6" width="21.7109375" style="3" customWidth="1"/>
    <col min="7" max="9" width="13.7109375" style="3" customWidth="1"/>
    <col min="10" max="10" width="27.28515625" style="3" customWidth="1"/>
    <col min="11" max="11" width="27" style="3" bestFit="1" customWidth="1"/>
    <col min="12" max="12" width="21.7109375" style="3" customWidth="1"/>
    <col min="13" max="13" width="13.7109375" style="3" customWidth="1"/>
    <col min="14" max="14" width="17.7109375" style="3" customWidth="1"/>
    <col min="15" max="15" width="13.7109375" style="3" customWidth="1"/>
    <col min="16" max="16" width="0.85546875" style="3" customWidth="1"/>
    <col min="17" max="18" width="12.28515625" style="3" customWidth="1"/>
    <col min="19" max="19" width="15.7109375" style="3" customWidth="1"/>
    <col min="20" max="20" width="15.5703125" style="3" customWidth="1"/>
    <col min="21" max="22" width="12.28515625" style="1" customWidth="1"/>
    <col min="23" max="23" width="26.7109375" style="1" customWidth="1"/>
    <col min="24" max="24" width="0.85546875" style="1" customWidth="1"/>
    <col min="25" max="16384" width="9.140625" style="1" hidden="1"/>
  </cols>
  <sheetData>
    <row r="1" spans="2:23" ht="5.0999999999999996" customHeight="1" thickBot="1"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</row>
    <row r="2" spans="2:23" ht="5.0999999999999996" customHeight="1" thickBot="1">
      <c r="B2" s="341"/>
      <c r="C2" s="342"/>
      <c r="D2" s="342"/>
      <c r="E2" s="342"/>
      <c r="F2" s="346"/>
      <c r="G2" s="346"/>
      <c r="H2" s="346"/>
      <c r="I2" s="346"/>
      <c r="J2" s="22"/>
      <c r="K2" s="22"/>
      <c r="L2" s="342"/>
      <c r="M2" s="342"/>
      <c r="N2" s="342"/>
      <c r="O2" s="342"/>
      <c r="P2" s="6"/>
      <c r="Q2" s="20"/>
      <c r="R2" s="20"/>
      <c r="S2" s="20"/>
      <c r="T2" s="20"/>
      <c r="U2" s="20"/>
      <c r="V2" s="20"/>
      <c r="W2" s="21"/>
    </row>
    <row r="3" spans="2:23" ht="30" customHeight="1" thickBot="1">
      <c r="B3" s="343"/>
      <c r="C3" s="340"/>
      <c r="D3" s="340"/>
      <c r="E3" s="340"/>
      <c r="F3" s="256" t="s">
        <v>0</v>
      </c>
      <c r="G3" s="257"/>
      <c r="H3" s="257"/>
      <c r="I3" s="257"/>
      <c r="J3" s="257"/>
      <c r="K3" s="257"/>
      <c r="L3" s="257"/>
      <c r="M3" s="257"/>
      <c r="N3" s="257"/>
      <c r="O3" s="258"/>
      <c r="Q3" s="256" t="s">
        <v>1</v>
      </c>
      <c r="R3" s="257"/>
      <c r="S3" s="257"/>
      <c r="T3" s="257"/>
      <c r="U3" s="257"/>
      <c r="V3" s="257"/>
      <c r="W3" s="258"/>
    </row>
    <row r="4" spans="2:23" ht="5.0999999999999996" customHeight="1" thickBot="1">
      <c r="B4" s="343"/>
      <c r="C4" s="340"/>
      <c r="D4" s="340"/>
      <c r="E4" s="340"/>
      <c r="F4" s="346"/>
      <c r="G4" s="346"/>
      <c r="H4" s="346"/>
      <c r="I4" s="346"/>
      <c r="J4" s="19"/>
      <c r="K4" s="19"/>
      <c r="L4" s="340"/>
      <c r="M4" s="340"/>
      <c r="N4" s="340"/>
      <c r="O4" s="340"/>
      <c r="Q4" s="276"/>
      <c r="R4" s="277"/>
      <c r="S4" s="277"/>
      <c r="T4" s="277"/>
      <c r="U4" s="277"/>
      <c r="V4" s="277"/>
      <c r="W4" s="278"/>
    </row>
    <row r="5" spans="2:23" ht="20.100000000000001" customHeight="1" thickBot="1">
      <c r="B5" s="343"/>
      <c r="C5" s="340"/>
      <c r="D5" s="340"/>
      <c r="E5" s="340"/>
      <c r="F5" s="113" t="s">
        <v>2</v>
      </c>
      <c r="G5" s="259" t="s">
        <v>3</v>
      </c>
      <c r="H5" s="260"/>
      <c r="I5" s="261"/>
      <c r="J5" s="19"/>
      <c r="K5" s="19"/>
      <c r="L5" s="113" t="s">
        <v>4</v>
      </c>
      <c r="M5" s="262" t="s">
        <v>5</v>
      </c>
      <c r="N5" s="260"/>
      <c r="O5" s="261"/>
      <c r="Q5" s="332" t="s">
        <v>6</v>
      </c>
      <c r="R5" s="333"/>
      <c r="S5" s="336" t="s">
        <v>7</v>
      </c>
      <c r="T5" s="337"/>
      <c r="U5" s="332" t="s">
        <v>6</v>
      </c>
      <c r="V5" s="333"/>
      <c r="W5" s="51"/>
    </row>
    <row r="6" spans="2:23" ht="20.100000000000001" customHeight="1" thickBot="1">
      <c r="B6" s="343"/>
      <c r="C6" s="340"/>
      <c r="D6" s="340"/>
      <c r="E6" s="340"/>
      <c r="F6" s="114"/>
      <c r="G6" s="115"/>
      <c r="H6" s="115"/>
      <c r="I6" s="116"/>
      <c r="J6" s="19"/>
      <c r="K6" s="19"/>
      <c r="L6" s="115"/>
      <c r="M6" s="115"/>
      <c r="N6" s="115"/>
      <c r="O6" s="116"/>
      <c r="P6" s="4"/>
      <c r="Q6" s="334" t="s">
        <v>8</v>
      </c>
      <c r="R6" s="335"/>
      <c r="S6" s="338" t="s">
        <v>9</v>
      </c>
      <c r="T6" s="339"/>
      <c r="U6" s="334" t="s">
        <v>8</v>
      </c>
      <c r="V6" s="335"/>
      <c r="W6" s="51"/>
    </row>
    <row r="7" spans="2:23" ht="20.100000000000001" customHeight="1" thickBot="1">
      <c r="B7" s="343"/>
      <c r="C7" s="340"/>
      <c r="D7" s="340"/>
      <c r="E7" s="340"/>
      <c r="F7" s="113" t="s">
        <v>10</v>
      </c>
      <c r="G7" s="263">
        <v>46032</v>
      </c>
      <c r="H7" s="260"/>
      <c r="I7" s="261"/>
      <c r="J7" s="19"/>
      <c r="K7" s="19"/>
      <c r="L7" s="113" t="s">
        <v>11</v>
      </c>
      <c r="M7" s="259" t="s">
        <v>12</v>
      </c>
      <c r="N7" s="260"/>
      <c r="O7" s="261"/>
      <c r="P7" s="4"/>
      <c r="Q7" s="334" t="s">
        <v>8</v>
      </c>
      <c r="R7" s="335"/>
      <c r="S7" s="338" t="s">
        <v>13</v>
      </c>
      <c r="T7" s="339"/>
      <c r="U7" s="334" t="s">
        <v>8</v>
      </c>
      <c r="V7" s="335"/>
      <c r="W7" s="51"/>
    </row>
    <row r="8" spans="2:23" ht="5.0999999999999996" customHeight="1" thickBot="1">
      <c r="B8" s="344"/>
      <c r="C8" s="345"/>
      <c r="D8" s="345"/>
      <c r="E8" s="345"/>
      <c r="F8" s="345"/>
      <c r="G8" s="345"/>
      <c r="H8" s="345"/>
      <c r="I8" s="345"/>
      <c r="J8" s="345"/>
      <c r="K8" s="345"/>
      <c r="L8" s="345"/>
      <c r="M8" s="345"/>
      <c r="N8" s="345"/>
      <c r="O8" s="345"/>
      <c r="P8" s="345"/>
      <c r="Q8" s="345"/>
      <c r="R8" s="345"/>
      <c r="S8" s="345"/>
      <c r="T8" s="345"/>
      <c r="U8" s="345"/>
      <c r="V8" s="345"/>
      <c r="W8" s="354"/>
    </row>
    <row r="9" spans="2:23" s="5" customFormat="1" ht="24.95" customHeight="1" thickBot="1">
      <c r="B9" s="256" t="s">
        <v>14</v>
      </c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8"/>
    </row>
    <row r="10" spans="2:23" ht="5.0999999999999996" customHeight="1" thickBot="1">
      <c r="B10" s="344"/>
      <c r="C10" s="345"/>
      <c r="D10" s="345"/>
      <c r="E10" s="345"/>
      <c r="F10" s="345"/>
      <c r="G10" s="345"/>
      <c r="H10" s="345"/>
      <c r="I10" s="345"/>
      <c r="J10" s="345"/>
      <c r="K10" s="345"/>
      <c r="L10" s="345"/>
      <c r="M10" s="345"/>
      <c r="N10" s="345"/>
      <c r="O10" s="345"/>
      <c r="P10" s="345"/>
      <c r="Q10" s="345"/>
      <c r="R10" s="345"/>
      <c r="S10" s="345"/>
      <c r="T10" s="345"/>
      <c r="U10" s="345"/>
      <c r="V10" s="345"/>
      <c r="W10" s="345"/>
    </row>
    <row r="11" spans="2:23" ht="30" customHeight="1" thickBot="1">
      <c r="B11" s="153" t="s">
        <v>15</v>
      </c>
      <c r="C11" s="153" t="s">
        <v>16</v>
      </c>
      <c r="D11" s="153" t="s">
        <v>17</v>
      </c>
      <c r="E11" s="153" t="s">
        <v>18</v>
      </c>
      <c r="F11" s="153" t="s">
        <v>19</v>
      </c>
      <c r="G11" s="347" t="s">
        <v>20</v>
      </c>
      <c r="H11" s="348"/>
      <c r="I11" s="348"/>
      <c r="J11" s="349"/>
      <c r="K11" s="153" t="s">
        <v>21</v>
      </c>
      <c r="L11" s="153" t="s">
        <v>22</v>
      </c>
      <c r="M11" s="153" t="s">
        <v>23</v>
      </c>
      <c r="N11" s="150" t="s">
        <v>24</v>
      </c>
      <c r="O11" s="350" t="s">
        <v>25</v>
      </c>
      <c r="P11" s="351"/>
      <c r="Q11" s="151" t="s">
        <v>26</v>
      </c>
      <c r="R11" s="153" t="s">
        <v>27</v>
      </c>
      <c r="S11" s="153" t="s">
        <v>28</v>
      </c>
      <c r="T11" s="153" t="s">
        <v>29</v>
      </c>
      <c r="U11" s="153" t="s">
        <v>30</v>
      </c>
      <c r="V11" s="153" t="s">
        <v>31</v>
      </c>
      <c r="W11" s="153" t="s">
        <v>32</v>
      </c>
    </row>
    <row r="12" spans="2:23" ht="24.95" customHeight="1" thickBot="1">
      <c r="B12" s="52">
        <f>IF(G12="","",1)</f>
        <v>1</v>
      </c>
      <c r="C12" s="292" t="s">
        <v>33</v>
      </c>
      <c r="D12" s="53">
        <v>0</v>
      </c>
      <c r="E12" s="54">
        <v>495094</v>
      </c>
      <c r="F12" s="65" t="s">
        <v>34</v>
      </c>
      <c r="G12" s="305" t="s">
        <v>35</v>
      </c>
      <c r="H12" s="306"/>
      <c r="I12" s="306"/>
      <c r="J12" s="307"/>
      <c r="K12" s="65" t="s">
        <v>34</v>
      </c>
      <c r="L12" s="60" t="s">
        <v>36</v>
      </c>
      <c r="M12" s="60" t="s">
        <v>36</v>
      </c>
      <c r="N12" s="55" t="s">
        <v>34</v>
      </c>
      <c r="O12" s="352"/>
      <c r="P12" s="353"/>
      <c r="Q12" s="53"/>
      <c r="R12" s="160"/>
      <c r="S12" s="57"/>
      <c r="T12" s="139"/>
      <c r="U12" s="57"/>
      <c r="V12" s="139"/>
      <c r="W12" s="147"/>
    </row>
    <row r="13" spans="2:23" ht="24.95" customHeight="1" thickBot="1">
      <c r="B13" s="56">
        <f>IF(G13="","",1+B12)</f>
        <v>2</v>
      </c>
      <c r="C13" s="293"/>
      <c r="D13" s="53">
        <v>0</v>
      </c>
      <c r="E13" s="58">
        <v>495095</v>
      </c>
      <c r="F13" s="65" t="s">
        <v>34</v>
      </c>
      <c r="G13" s="270" t="s">
        <v>37</v>
      </c>
      <c r="H13" s="271"/>
      <c r="I13" s="271"/>
      <c r="J13" s="272"/>
      <c r="K13" s="65" t="s">
        <v>34</v>
      </c>
      <c r="L13" s="60" t="s">
        <v>36</v>
      </c>
      <c r="M13" s="60" t="s">
        <v>36</v>
      </c>
      <c r="N13" s="61" t="e">
        <f>'Controle de Eslingas'!#REF!</f>
        <v>#REF!</v>
      </c>
      <c r="O13" s="279"/>
      <c r="P13" s="280"/>
      <c r="Q13" s="53"/>
      <c r="R13" s="160"/>
      <c r="S13" s="57"/>
      <c r="T13" s="139"/>
      <c r="U13" s="57"/>
      <c r="V13" s="139"/>
      <c r="W13" s="148"/>
    </row>
    <row r="14" spans="2:23" ht="24.95" customHeight="1" thickBot="1">
      <c r="B14" s="56">
        <f t="shared" ref="B14:B77" si="0">IF(G14="","",1+B13)</f>
        <v>3</v>
      </c>
      <c r="C14" s="293"/>
      <c r="D14" s="53">
        <v>0</v>
      </c>
      <c r="E14" s="63">
        <v>495096</v>
      </c>
      <c r="F14" s="65" t="s">
        <v>34</v>
      </c>
      <c r="G14" s="267" t="s">
        <v>38</v>
      </c>
      <c r="H14" s="268"/>
      <c r="I14" s="268"/>
      <c r="J14" s="269"/>
      <c r="K14" s="65" t="s">
        <v>34</v>
      </c>
      <c r="L14" s="60" t="s">
        <v>36</v>
      </c>
      <c r="M14" s="60" t="s">
        <v>36</v>
      </c>
      <c r="N14" s="61" t="s">
        <v>34</v>
      </c>
      <c r="O14" s="279"/>
      <c r="P14" s="280"/>
      <c r="Q14" s="53"/>
      <c r="R14" s="160"/>
      <c r="S14" s="57"/>
      <c r="T14" s="139"/>
      <c r="U14" s="57"/>
      <c r="V14" s="139"/>
      <c r="W14" s="148"/>
    </row>
    <row r="15" spans="2:23" ht="15.75">
      <c r="B15" s="56">
        <f t="shared" si="0"/>
        <v>4</v>
      </c>
      <c r="C15" s="293"/>
      <c r="D15" s="53">
        <v>100</v>
      </c>
      <c r="E15" s="64">
        <v>495075</v>
      </c>
      <c r="F15" s="65" t="s">
        <v>34</v>
      </c>
      <c r="G15" s="320" t="s">
        <v>39</v>
      </c>
      <c r="H15" s="321"/>
      <c r="I15" s="321"/>
      <c r="J15" s="322"/>
      <c r="K15" s="65" t="s">
        <v>40</v>
      </c>
      <c r="L15" s="60"/>
      <c r="M15" s="60" t="s">
        <v>36</v>
      </c>
      <c r="N15" s="61" t="s">
        <v>34</v>
      </c>
      <c r="O15" s="279"/>
      <c r="P15" s="280"/>
      <c r="Q15" s="62">
        <v>326246477</v>
      </c>
      <c r="R15" s="66">
        <v>46032</v>
      </c>
      <c r="S15" s="57"/>
      <c r="T15" s="139"/>
      <c r="U15" s="57" t="s">
        <v>41</v>
      </c>
      <c r="V15" s="139" t="s">
        <v>3</v>
      </c>
      <c r="W15" s="117"/>
    </row>
    <row r="16" spans="2:23" ht="24.95" customHeight="1" thickBot="1">
      <c r="B16" s="56">
        <f t="shared" si="0"/>
        <v>5</v>
      </c>
      <c r="C16" s="293"/>
      <c r="D16" s="53">
        <v>1</v>
      </c>
      <c r="E16" s="63">
        <v>495078</v>
      </c>
      <c r="F16" s="65" t="s">
        <v>42</v>
      </c>
      <c r="G16" s="267" t="s">
        <v>43</v>
      </c>
      <c r="H16" s="268"/>
      <c r="I16" s="268"/>
      <c r="J16" s="269"/>
      <c r="K16" s="65" t="s">
        <v>40</v>
      </c>
      <c r="L16" s="60"/>
      <c r="M16" s="60" t="s">
        <v>36</v>
      </c>
      <c r="N16" s="61" t="s">
        <v>34</v>
      </c>
      <c r="O16" s="279"/>
      <c r="P16" s="280"/>
      <c r="Q16" s="62"/>
      <c r="R16" s="66"/>
      <c r="S16" s="57"/>
      <c r="T16" s="139"/>
      <c r="U16" s="57"/>
      <c r="V16" s="139"/>
      <c r="W16" s="148"/>
    </row>
    <row r="17" spans="2:23" ht="24.95" customHeight="1" thickBot="1">
      <c r="B17" s="56">
        <f t="shared" si="0"/>
        <v>6</v>
      </c>
      <c r="C17" s="293"/>
      <c r="D17" s="53">
        <v>1</v>
      </c>
      <c r="E17" s="63">
        <v>495078</v>
      </c>
      <c r="F17" s="65" t="s">
        <v>34</v>
      </c>
      <c r="G17" s="267" t="s">
        <v>43</v>
      </c>
      <c r="H17" s="268"/>
      <c r="I17" s="268"/>
      <c r="J17" s="269"/>
      <c r="K17" s="65" t="s">
        <v>34</v>
      </c>
      <c r="L17" s="60"/>
      <c r="M17" s="60" t="s">
        <v>36</v>
      </c>
      <c r="N17" s="61" t="s">
        <v>34</v>
      </c>
      <c r="O17" s="279"/>
      <c r="P17" s="280"/>
      <c r="Q17" s="62"/>
      <c r="R17" s="66"/>
      <c r="S17" s="180"/>
      <c r="T17" s="139"/>
      <c r="U17" s="57"/>
      <c r="V17" s="139"/>
      <c r="W17" s="148"/>
    </row>
    <row r="18" spans="2:23" ht="24.95" customHeight="1" thickBot="1">
      <c r="B18" s="56">
        <f t="shared" si="0"/>
        <v>7</v>
      </c>
      <c r="C18" s="293"/>
      <c r="D18" s="53">
        <v>3</v>
      </c>
      <c r="E18" s="63">
        <v>495077</v>
      </c>
      <c r="F18" s="65" t="s">
        <v>44</v>
      </c>
      <c r="G18" s="267" t="s">
        <v>45</v>
      </c>
      <c r="H18" s="268"/>
      <c r="I18" s="268"/>
      <c r="J18" s="269"/>
      <c r="K18" s="65" t="s">
        <v>34</v>
      </c>
      <c r="L18" s="60"/>
      <c r="M18" s="60" t="s">
        <v>36</v>
      </c>
      <c r="N18" s="61" t="s">
        <v>34</v>
      </c>
      <c r="O18" s="279"/>
      <c r="P18" s="280"/>
      <c r="Q18" s="62"/>
      <c r="R18" s="66"/>
      <c r="S18" s="180"/>
      <c r="T18" s="139"/>
      <c r="U18" s="57"/>
      <c r="V18" s="139"/>
      <c r="W18" s="117"/>
    </row>
    <row r="19" spans="2:23" ht="24.95" customHeight="1" thickBot="1">
      <c r="B19" s="56">
        <f t="shared" si="0"/>
        <v>8</v>
      </c>
      <c r="C19" s="293"/>
      <c r="D19" s="53">
        <v>3</v>
      </c>
      <c r="E19" s="63">
        <v>495077</v>
      </c>
      <c r="F19" s="65" t="s">
        <v>34</v>
      </c>
      <c r="G19" s="267" t="s">
        <v>45</v>
      </c>
      <c r="H19" s="268"/>
      <c r="I19" s="268"/>
      <c r="J19" s="269"/>
      <c r="K19" s="65" t="s">
        <v>34</v>
      </c>
      <c r="L19" s="60"/>
      <c r="M19" s="60" t="s">
        <v>36</v>
      </c>
      <c r="N19" s="61" t="s">
        <v>34</v>
      </c>
      <c r="O19" s="279"/>
      <c r="P19" s="280"/>
      <c r="Q19" s="62"/>
      <c r="R19" s="66"/>
      <c r="S19" s="180"/>
      <c r="T19" s="139"/>
      <c r="U19" s="57"/>
      <c r="V19" s="139"/>
      <c r="W19" s="148"/>
    </row>
    <row r="20" spans="2:23" ht="24.95" customHeight="1" thickBot="1">
      <c r="B20" s="56">
        <f t="shared" si="0"/>
        <v>9</v>
      </c>
      <c r="C20" s="293"/>
      <c r="D20" s="53">
        <v>1</v>
      </c>
      <c r="E20" s="63">
        <v>495076</v>
      </c>
      <c r="F20" s="65" t="s">
        <v>34</v>
      </c>
      <c r="G20" s="267" t="s">
        <v>46</v>
      </c>
      <c r="H20" s="268"/>
      <c r="I20" s="268"/>
      <c r="J20" s="269"/>
      <c r="K20" s="65" t="s">
        <v>34</v>
      </c>
      <c r="L20" s="60"/>
      <c r="M20" s="60" t="s">
        <v>36</v>
      </c>
      <c r="N20" s="61" t="s">
        <v>34</v>
      </c>
      <c r="O20" s="279"/>
      <c r="P20" s="280"/>
      <c r="Q20" s="62"/>
      <c r="R20" s="66"/>
      <c r="S20" s="180"/>
      <c r="T20" s="139"/>
      <c r="U20" s="57"/>
      <c r="V20" s="139"/>
      <c r="W20" s="148"/>
    </row>
    <row r="21" spans="2:23" ht="24.95" customHeight="1" thickBot="1">
      <c r="B21" s="56">
        <f t="shared" si="0"/>
        <v>10</v>
      </c>
      <c r="C21" s="293"/>
      <c r="D21" s="53">
        <v>0</v>
      </c>
      <c r="E21" s="63">
        <v>495076</v>
      </c>
      <c r="F21" s="65" t="s">
        <v>34</v>
      </c>
      <c r="G21" s="267" t="s">
        <v>46</v>
      </c>
      <c r="H21" s="268"/>
      <c r="I21" s="268"/>
      <c r="J21" s="269"/>
      <c r="K21" s="65" t="s">
        <v>34</v>
      </c>
      <c r="L21" s="60"/>
      <c r="M21" s="60" t="s">
        <v>36</v>
      </c>
      <c r="N21" s="61" t="s">
        <v>34</v>
      </c>
      <c r="O21" s="279"/>
      <c r="P21" s="280"/>
      <c r="Q21" s="62"/>
      <c r="R21" s="66"/>
      <c r="S21" s="180"/>
      <c r="T21" s="139"/>
      <c r="U21" s="57"/>
      <c r="V21" s="139"/>
      <c r="W21" s="148"/>
    </row>
    <row r="22" spans="2:23" ht="24.95" customHeight="1" thickBot="1">
      <c r="B22" s="56">
        <f t="shared" si="0"/>
        <v>11</v>
      </c>
      <c r="C22" s="293"/>
      <c r="D22" s="53">
        <v>1</v>
      </c>
      <c r="E22" s="63">
        <v>495081</v>
      </c>
      <c r="F22" s="65" t="s">
        <v>47</v>
      </c>
      <c r="G22" s="267" t="s">
        <v>48</v>
      </c>
      <c r="H22" s="268"/>
      <c r="I22" s="268"/>
      <c r="J22" s="269"/>
      <c r="K22" s="65" t="s">
        <v>40</v>
      </c>
      <c r="L22" s="60"/>
      <c r="M22" s="60" t="s">
        <v>36</v>
      </c>
      <c r="N22" s="61" t="s">
        <v>34</v>
      </c>
      <c r="O22" s="279"/>
      <c r="P22" s="280"/>
      <c r="Q22" s="62">
        <v>326245906</v>
      </c>
      <c r="R22" s="67" t="s">
        <v>49</v>
      </c>
      <c r="S22" s="68"/>
      <c r="T22" s="140"/>
      <c r="U22" s="57" t="s">
        <v>41</v>
      </c>
      <c r="V22" s="139" t="s">
        <v>3</v>
      </c>
      <c r="W22" s="70"/>
    </row>
    <row r="23" spans="2:23" ht="24.95" customHeight="1" thickBot="1">
      <c r="B23" s="56">
        <f t="shared" si="0"/>
        <v>12</v>
      </c>
      <c r="C23" s="293"/>
      <c r="D23" s="53">
        <v>1</v>
      </c>
      <c r="E23" s="63">
        <v>495082</v>
      </c>
      <c r="F23" s="65" t="s">
        <v>50</v>
      </c>
      <c r="G23" s="267" t="s">
        <v>51</v>
      </c>
      <c r="H23" s="268"/>
      <c r="I23" s="268"/>
      <c r="J23" s="269"/>
      <c r="K23" s="65" t="s">
        <v>40</v>
      </c>
      <c r="L23" s="60"/>
      <c r="M23" s="60" t="s">
        <v>36</v>
      </c>
      <c r="N23" s="61" t="s">
        <v>34</v>
      </c>
      <c r="O23" s="279"/>
      <c r="P23" s="280"/>
      <c r="Q23" s="62">
        <v>326245906</v>
      </c>
      <c r="R23" s="67" t="s">
        <v>49</v>
      </c>
      <c r="S23" s="68"/>
      <c r="T23" s="140"/>
      <c r="U23" s="57" t="s">
        <v>41</v>
      </c>
      <c r="V23" s="139" t="s">
        <v>3</v>
      </c>
      <c r="W23" s="148"/>
    </row>
    <row r="24" spans="2:23" ht="24.95" customHeight="1" thickBot="1">
      <c r="B24" s="56">
        <f t="shared" si="0"/>
        <v>13</v>
      </c>
      <c r="C24" s="293"/>
      <c r="D24" s="53">
        <v>0</v>
      </c>
      <c r="E24" s="63">
        <v>495083</v>
      </c>
      <c r="F24" s="65" t="s">
        <v>52</v>
      </c>
      <c r="G24" s="267" t="s">
        <v>53</v>
      </c>
      <c r="H24" s="268"/>
      <c r="I24" s="268"/>
      <c r="J24" s="269"/>
      <c r="K24" s="65" t="s">
        <v>54</v>
      </c>
      <c r="L24" s="60"/>
      <c r="M24" s="60" t="s">
        <v>36</v>
      </c>
      <c r="N24" s="61" t="s">
        <v>34</v>
      </c>
      <c r="O24" s="279"/>
      <c r="P24" s="280"/>
      <c r="Q24" s="62">
        <v>326247561</v>
      </c>
      <c r="R24" s="66">
        <v>46032</v>
      </c>
      <c r="S24" s="57"/>
      <c r="T24" s="139"/>
      <c r="U24" s="57"/>
      <c r="V24" s="139"/>
      <c r="W24" s="70"/>
    </row>
    <row r="25" spans="2:23" ht="24.95" customHeight="1" thickBot="1">
      <c r="B25" s="56">
        <f t="shared" si="0"/>
        <v>14</v>
      </c>
      <c r="C25" s="293"/>
      <c r="D25" s="53">
        <v>0</v>
      </c>
      <c r="E25" s="58">
        <v>495106</v>
      </c>
      <c r="F25" s="65" t="s">
        <v>34</v>
      </c>
      <c r="G25" s="267" t="s">
        <v>55</v>
      </c>
      <c r="H25" s="268"/>
      <c r="I25" s="268"/>
      <c r="J25" s="269"/>
      <c r="K25" s="156" t="s">
        <v>34</v>
      </c>
      <c r="L25" s="60"/>
      <c r="M25" s="60" t="s">
        <v>36</v>
      </c>
      <c r="N25" s="61" t="s">
        <v>34</v>
      </c>
      <c r="O25" s="279"/>
      <c r="P25" s="280"/>
      <c r="Q25" s="57"/>
      <c r="R25" s="60"/>
      <c r="S25" s="57"/>
      <c r="T25" s="139"/>
      <c r="U25" s="57"/>
      <c r="V25" s="139"/>
      <c r="W25" s="148"/>
    </row>
    <row r="26" spans="2:23" ht="24.95" customHeight="1" thickBot="1">
      <c r="B26" s="71">
        <f t="shared" si="0"/>
        <v>15</v>
      </c>
      <c r="C26" s="294"/>
      <c r="D26" s="53">
        <v>0</v>
      </c>
      <c r="E26" s="73">
        <v>495084</v>
      </c>
      <c r="F26" s="65" t="s">
        <v>34</v>
      </c>
      <c r="G26" s="323" t="s">
        <v>56</v>
      </c>
      <c r="H26" s="324"/>
      <c r="I26" s="324"/>
      <c r="J26" s="325"/>
      <c r="K26" s="156" t="s">
        <v>34</v>
      </c>
      <c r="L26" s="60"/>
      <c r="M26" s="60" t="s">
        <v>36</v>
      </c>
      <c r="N26" s="75" t="e">
        <f>'Controle de Eslingas'!#REF!</f>
        <v>#REF!</v>
      </c>
      <c r="O26" s="279"/>
      <c r="P26" s="280"/>
      <c r="Q26" s="72"/>
      <c r="R26" s="74"/>
      <c r="S26" s="72"/>
      <c r="T26" s="141"/>
      <c r="U26" s="57"/>
      <c r="V26" s="139"/>
      <c r="W26" s="149"/>
    </row>
    <row r="27" spans="2:23" ht="24.95" customHeight="1" thickBot="1">
      <c r="B27" s="76">
        <f>IF(G27="","",1+B26)</f>
        <v>16</v>
      </c>
      <c r="C27" s="293" t="s">
        <v>57</v>
      </c>
      <c r="D27" s="53">
        <v>0</v>
      </c>
      <c r="E27" s="78">
        <v>495097</v>
      </c>
      <c r="F27" s="65" t="s">
        <v>34</v>
      </c>
      <c r="G27" s="320" t="s">
        <v>58</v>
      </c>
      <c r="H27" s="321"/>
      <c r="I27" s="321"/>
      <c r="J27" s="322"/>
      <c r="K27" s="156" t="s">
        <v>34</v>
      </c>
      <c r="L27" s="60"/>
      <c r="M27" s="60" t="s">
        <v>36</v>
      </c>
      <c r="N27" s="80" t="s">
        <v>34</v>
      </c>
      <c r="O27" s="279"/>
      <c r="P27" s="280"/>
      <c r="Q27" s="77"/>
      <c r="R27" s="79"/>
      <c r="S27" s="77"/>
      <c r="T27" s="142"/>
      <c r="U27" s="57"/>
      <c r="V27" s="139"/>
      <c r="W27" s="81"/>
    </row>
    <row r="28" spans="2:23" ht="24.95" customHeight="1" thickBot="1">
      <c r="B28" s="76">
        <f t="shared" si="0"/>
        <v>17</v>
      </c>
      <c r="C28" s="293"/>
      <c r="D28" s="53">
        <v>0</v>
      </c>
      <c r="E28" s="58">
        <v>495098</v>
      </c>
      <c r="F28" s="65" t="s">
        <v>34</v>
      </c>
      <c r="G28" s="267" t="s">
        <v>59</v>
      </c>
      <c r="H28" s="268"/>
      <c r="I28" s="268"/>
      <c r="J28" s="269"/>
      <c r="K28" s="156" t="s">
        <v>34</v>
      </c>
      <c r="L28" s="60"/>
      <c r="M28" s="60" t="s">
        <v>36</v>
      </c>
      <c r="N28" s="61" t="s">
        <v>34</v>
      </c>
      <c r="O28" s="279"/>
      <c r="P28" s="280"/>
      <c r="Q28" s="57"/>
      <c r="R28" s="79"/>
      <c r="S28" s="77"/>
      <c r="T28" s="142"/>
      <c r="U28" s="57"/>
      <c r="V28" s="139"/>
      <c r="W28" s="81"/>
    </row>
    <row r="29" spans="2:23" ht="24.95" customHeight="1" thickBot="1">
      <c r="B29" s="56">
        <f t="shared" si="0"/>
        <v>18</v>
      </c>
      <c r="C29" s="293"/>
      <c r="D29" s="53">
        <v>0</v>
      </c>
      <c r="E29" s="58">
        <v>495099</v>
      </c>
      <c r="F29" s="65" t="s">
        <v>34</v>
      </c>
      <c r="G29" s="267" t="s">
        <v>60</v>
      </c>
      <c r="H29" s="268"/>
      <c r="I29" s="268"/>
      <c r="J29" s="269"/>
      <c r="K29" s="156" t="s">
        <v>34</v>
      </c>
      <c r="L29" s="60"/>
      <c r="M29" s="60" t="s">
        <v>36</v>
      </c>
      <c r="N29" s="61" t="s">
        <v>34</v>
      </c>
      <c r="O29" s="279"/>
      <c r="P29" s="280"/>
      <c r="Q29" s="57"/>
      <c r="R29" s="60"/>
      <c r="S29" s="57"/>
      <c r="T29" s="139"/>
      <c r="U29" s="57"/>
      <c r="V29" s="139"/>
      <c r="W29" s="148"/>
    </row>
    <row r="30" spans="2:23" ht="24.95" customHeight="1" thickBot="1">
      <c r="B30" s="56">
        <f t="shared" si="0"/>
        <v>19</v>
      </c>
      <c r="C30" s="293"/>
      <c r="D30" s="53">
        <v>0</v>
      </c>
      <c r="E30" s="58">
        <v>495100</v>
      </c>
      <c r="F30" s="65" t="s">
        <v>34</v>
      </c>
      <c r="G30" s="267" t="s">
        <v>61</v>
      </c>
      <c r="H30" s="268"/>
      <c r="I30" s="268"/>
      <c r="J30" s="269"/>
      <c r="K30" s="156" t="s">
        <v>34</v>
      </c>
      <c r="L30" s="60"/>
      <c r="M30" s="60" t="s">
        <v>36</v>
      </c>
      <c r="N30" s="61" t="s">
        <v>34</v>
      </c>
      <c r="O30" s="279"/>
      <c r="P30" s="280"/>
      <c r="Q30" s="57"/>
      <c r="R30" s="69"/>
      <c r="S30" s="68"/>
      <c r="T30" s="140"/>
      <c r="U30" s="57"/>
      <c r="V30" s="139"/>
      <c r="W30" s="70"/>
    </row>
    <row r="31" spans="2:23" ht="24.95" customHeight="1" thickBot="1">
      <c r="B31" s="56">
        <f t="shared" si="0"/>
        <v>20</v>
      </c>
      <c r="C31" s="293"/>
      <c r="D31" s="53">
        <v>0</v>
      </c>
      <c r="E31" s="58">
        <v>495101</v>
      </c>
      <c r="F31" s="65" t="s">
        <v>34</v>
      </c>
      <c r="G31" s="267" t="s">
        <v>62</v>
      </c>
      <c r="H31" s="268"/>
      <c r="I31" s="268"/>
      <c r="J31" s="269"/>
      <c r="K31" s="156" t="s">
        <v>34</v>
      </c>
      <c r="L31" s="60"/>
      <c r="M31" s="60" t="s">
        <v>36</v>
      </c>
      <c r="N31" s="61" t="s">
        <v>34</v>
      </c>
      <c r="O31" s="279"/>
      <c r="P31" s="280"/>
      <c r="Q31" s="57"/>
      <c r="R31" s="69"/>
      <c r="S31" s="68"/>
      <c r="T31" s="140"/>
      <c r="U31" s="57"/>
      <c r="V31" s="139"/>
      <c r="W31" s="70"/>
    </row>
    <row r="32" spans="2:23" ht="24.95" customHeight="1" thickBot="1">
      <c r="B32" s="56">
        <f t="shared" si="0"/>
        <v>21</v>
      </c>
      <c r="C32" s="293"/>
      <c r="D32" s="53">
        <v>0</v>
      </c>
      <c r="E32" s="58">
        <v>495102</v>
      </c>
      <c r="F32" s="65" t="s">
        <v>34</v>
      </c>
      <c r="G32" s="267" t="s">
        <v>63</v>
      </c>
      <c r="H32" s="268"/>
      <c r="I32" s="268"/>
      <c r="J32" s="269"/>
      <c r="K32" s="156" t="s">
        <v>34</v>
      </c>
      <c r="L32" s="60"/>
      <c r="M32" s="60" t="s">
        <v>36</v>
      </c>
      <c r="N32" s="61" t="s">
        <v>34</v>
      </c>
      <c r="O32" s="82"/>
      <c r="P32" s="148"/>
      <c r="Q32" s="53"/>
      <c r="R32" s="160"/>
      <c r="S32" s="68"/>
      <c r="T32" s="140"/>
      <c r="U32" s="57"/>
      <c r="V32" s="139"/>
      <c r="W32" s="70"/>
    </row>
    <row r="33" spans="2:23" ht="24.95" customHeight="1" thickBot="1">
      <c r="B33" s="56">
        <f t="shared" si="0"/>
        <v>22</v>
      </c>
      <c r="C33" s="293"/>
      <c r="D33" s="53">
        <v>0</v>
      </c>
      <c r="E33" s="58">
        <v>495103</v>
      </c>
      <c r="F33" s="65" t="s">
        <v>34</v>
      </c>
      <c r="G33" s="267" t="s">
        <v>64</v>
      </c>
      <c r="H33" s="268"/>
      <c r="I33" s="268"/>
      <c r="J33" s="269"/>
      <c r="K33" s="156" t="s">
        <v>34</v>
      </c>
      <c r="L33" s="60"/>
      <c r="M33" s="60" t="s">
        <v>36</v>
      </c>
      <c r="N33" s="83" t="s">
        <v>34</v>
      </c>
      <c r="O33" s="82"/>
      <c r="P33" s="148"/>
      <c r="Q33" s="82"/>
      <c r="R33" s="60"/>
      <c r="S33" s="57"/>
      <c r="T33" s="139"/>
      <c r="U33" s="57"/>
      <c r="V33" s="139"/>
      <c r="W33" s="148"/>
    </row>
    <row r="34" spans="2:23" ht="24.95" customHeight="1" thickBot="1">
      <c r="B34" s="76">
        <f t="shared" si="0"/>
        <v>23</v>
      </c>
      <c r="C34" s="293"/>
      <c r="D34" s="53">
        <v>0</v>
      </c>
      <c r="E34" s="58">
        <v>495104</v>
      </c>
      <c r="F34" s="65" t="s">
        <v>34</v>
      </c>
      <c r="G34" s="267" t="s">
        <v>65</v>
      </c>
      <c r="H34" s="268"/>
      <c r="I34" s="268"/>
      <c r="J34" s="269"/>
      <c r="K34" s="156" t="s">
        <v>34</v>
      </c>
      <c r="L34" s="60"/>
      <c r="M34" s="60" t="s">
        <v>36</v>
      </c>
      <c r="N34" s="80" t="s">
        <v>34</v>
      </c>
      <c r="O34" s="82"/>
      <c r="P34" s="148"/>
      <c r="Q34" s="77"/>
      <c r="R34" s="85"/>
      <c r="S34" s="84"/>
      <c r="T34" s="143"/>
      <c r="U34" s="57"/>
      <c r="V34" s="139"/>
      <c r="W34" s="86"/>
    </row>
    <row r="35" spans="2:23" ht="24.95" customHeight="1" thickBot="1">
      <c r="B35" s="87">
        <f t="shared" si="0"/>
        <v>24</v>
      </c>
      <c r="C35" s="293"/>
      <c r="D35" s="53">
        <v>0</v>
      </c>
      <c r="E35" s="58">
        <v>495105</v>
      </c>
      <c r="F35" s="65" t="s">
        <v>34</v>
      </c>
      <c r="G35" s="326" t="s">
        <v>66</v>
      </c>
      <c r="H35" s="327"/>
      <c r="I35" s="327"/>
      <c r="J35" s="328"/>
      <c r="K35" s="156" t="s">
        <v>34</v>
      </c>
      <c r="L35" s="60"/>
      <c r="M35" s="60" t="s">
        <v>36</v>
      </c>
      <c r="N35" s="89" t="e">
        <f>'Controle de Eslingas'!#REF!</f>
        <v>#REF!</v>
      </c>
      <c r="O35" s="82"/>
      <c r="P35" s="148"/>
      <c r="Q35" s="68"/>
      <c r="R35" s="69"/>
      <c r="S35" s="68"/>
      <c r="T35" s="140"/>
      <c r="U35" s="57"/>
      <c r="V35" s="139"/>
      <c r="W35" s="70"/>
    </row>
    <row r="36" spans="2:23" ht="24.95" customHeight="1" thickBot="1">
      <c r="B36" s="52">
        <f t="shared" si="0"/>
        <v>25</v>
      </c>
      <c r="C36" s="292" t="s">
        <v>67</v>
      </c>
      <c r="D36" s="53">
        <v>1</v>
      </c>
      <c r="E36" s="91">
        <v>495085</v>
      </c>
      <c r="F36" s="184" t="s">
        <v>68</v>
      </c>
      <c r="G36" s="286" t="s">
        <v>69</v>
      </c>
      <c r="H36" s="287"/>
      <c r="I36" s="287"/>
      <c r="J36" s="288"/>
      <c r="K36" s="65" t="s">
        <v>40</v>
      </c>
      <c r="L36" s="60"/>
      <c r="M36" s="60" t="s">
        <v>36</v>
      </c>
      <c r="N36" s="55" t="s">
        <v>34</v>
      </c>
      <c r="O36" s="82"/>
      <c r="P36" s="148"/>
      <c r="Q36" s="121">
        <v>326245906</v>
      </c>
      <c r="R36" s="122" t="s">
        <v>49</v>
      </c>
      <c r="S36" s="53"/>
      <c r="T36" s="138"/>
      <c r="U36" s="57" t="s">
        <v>41</v>
      </c>
      <c r="V36" s="139" t="s">
        <v>3</v>
      </c>
      <c r="W36" s="147"/>
    </row>
    <row r="37" spans="2:23" ht="24.95" customHeight="1" thickBot="1">
      <c r="B37" s="56">
        <f t="shared" si="0"/>
        <v>26</v>
      </c>
      <c r="C37" s="293"/>
      <c r="D37" s="53">
        <v>1</v>
      </c>
      <c r="E37" s="94">
        <v>495086</v>
      </c>
      <c r="F37" s="65" t="s">
        <v>70</v>
      </c>
      <c r="G37" s="289" t="s">
        <v>71</v>
      </c>
      <c r="H37" s="290"/>
      <c r="I37" s="290"/>
      <c r="J37" s="291"/>
      <c r="K37" s="65" t="s">
        <v>40</v>
      </c>
      <c r="L37" s="60"/>
      <c r="M37" s="60" t="s">
        <v>36</v>
      </c>
      <c r="N37" s="61" t="s">
        <v>34</v>
      </c>
      <c r="O37" s="82"/>
      <c r="P37" s="148"/>
      <c r="Q37" s="120">
        <v>326245906</v>
      </c>
      <c r="R37" s="104" t="s">
        <v>49</v>
      </c>
      <c r="S37" s="84"/>
      <c r="T37" s="143"/>
      <c r="U37" s="57" t="s">
        <v>41</v>
      </c>
      <c r="V37" s="139" t="s">
        <v>3</v>
      </c>
      <c r="W37" s="86"/>
    </row>
    <row r="38" spans="2:23" ht="24.95" customHeight="1" thickBot="1">
      <c r="B38" s="56">
        <f t="shared" si="0"/>
        <v>27</v>
      </c>
      <c r="C38" s="293"/>
      <c r="D38" s="53">
        <v>1</v>
      </c>
      <c r="E38" s="94">
        <v>495087</v>
      </c>
      <c r="F38" s="65" t="s">
        <v>72</v>
      </c>
      <c r="G38" s="289" t="s">
        <v>73</v>
      </c>
      <c r="H38" s="290"/>
      <c r="I38" s="290"/>
      <c r="J38" s="291"/>
      <c r="K38" s="65" t="s">
        <v>40</v>
      </c>
      <c r="L38" s="60"/>
      <c r="M38" s="60" t="s">
        <v>36</v>
      </c>
      <c r="N38" s="61" t="s">
        <v>34</v>
      </c>
      <c r="O38" s="82"/>
      <c r="P38" s="148"/>
      <c r="Q38" s="62">
        <v>326245906</v>
      </c>
      <c r="R38" s="66" t="s">
        <v>49</v>
      </c>
      <c r="S38" s="57"/>
      <c r="T38" s="139"/>
      <c r="U38" s="57" t="s">
        <v>41</v>
      </c>
      <c r="V38" s="139" t="s">
        <v>3</v>
      </c>
      <c r="W38" s="70"/>
    </row>
    <row r="39" spans="2:23" ht="24.95" customHeight="1" thickBot="1">
      <c r="B39" s="56">
        <f t="shared" si="0"/>
        <v>28</v>
      </c>
      <c r="C39" s="293"/>
      <c r="D39" s="53">
        <v>1</v>
      </c>
      <c r="E39" s="94">
        <v>495088</v>
      </c>
      <c r="F39" s="65" t="s">
        <v>74</v>
      </c>
      <c r="G39" s="289" t="s">
        <v>75</v>
      </c>
      <c r="H39" s="290"/>
      <c r="I39" s="290"/>
      <c r="J39" s="291"/>
      <c r="K39" s="65" t="s">
        <v>40</v>
      </c>
      <c r="L39" s="60"/>
      <c r="M39" s="60" t="s">
        <v>36</v>
      </c>
      <c r="N39" s="61" t="s">
        <v>34</v>
      </c>
      <c r="O39" s="82"/>
      <c r="P39" s="148"/>
      <c r="Q39" s="62">
        <v>326245906</v>
      </c>
      <c r="R39" s="67" t="s">
        <v>49</v>
      </c>
      <c r="S39" s="68"/>
      <c r="T39" s="140"/>
      <c r="U39" s="57" t="s">
        <v>41</v>
      </c>
      <c r="V39" s="139" t="s">
        <v>3</v>
      </c>
      <c r="W39" s="70"/>
    </row>
    <row r="40" spans="2:23" ht="24.95" customHeight="1" thickBot="1">
      <c r="B40" s="56">
        <f t="shared" si="0"/>
        <v>29</v>
      </c>
      <c r="C40" s="293"/>
      <c r="D40" s="53">
        <v>0</v>
      </c>
      <c r="E40" s="94">
        <v>495089</v>
      </c>
      <c r="F40" s="65" t="s">
        <v>34</v>
      </c>
      <c r="G40" s="289" t="s">
        <v>76</v>
      </c>
      <c r="H40" s="290"/>
      <c r="I40" s="290"/>
      <c r="J40" s="291"/>
      <c r="K40" s="65" t="s">
        <v>40</v>
      </c>
      <c r="L40" s="60"/>
      <c r="M40" s="60" t="s">
        <v>36</v>
      </c>
      <c r="N40" s="61" t="s">
        <v>34</v>
      </c>
      <c r="O40" s="82"/>
      <c r="P40" s="148"/>
      <c r="Q40" s="62">
        <v>326245906</v>
      </c>
      <c r="R40" s="66" t="s">
        <v>49</v>
      </c>
      <c r="S40" s="57"/>
      <c r="T40" s="139"/>
      <c r="U40" s="57" t="s">
        <v>41</v>
      </c>
      <c r="V40" s="139" t="s">
        <v>3</v>
      </c>
      <c r="W40" s="70"/>
    </row>
    <row r="41" spans="2:23" ht="24.95" customHeight="1" thickBot="1">
      <c r="B41" s="56">
        <f t="shared" si="0"/>
        <v>30</v>
      </c>
      <c r="C41" s="293"/>
      <c r="D41" s="53">
        <v>0</v>
      </c>
      <c r="E41" s="94">
        <v>497277</v>
      </c>
      <c r="F41" s="65" t="s">
        <v>34</v>
      </c>
      <c r="G41" s="289" t="s">
        <v>77</v>
      </c>
      <c r="H41" s="290"/>
      <c r="I41" s="290"/>
      <c r="J41" s="291"/>
      <c r="K41" s="65" t="s">
        <v>34</v>
      </c>
      <c r="L41" s="60"/>
      <c r="M41" s="60" t="s">
        <v>36</v>
      </c>
      <c r="N41" s="61" t="s">
        <v>34</v>
      </c>
      <c r="O41" s="82"/>
      <c r="P41" s="148"/>
      <c r="Q41" s="57"/>
      <c r="R41" s="69"/>
      <c r="S41" s="68"/>
      <c r="T41" s="140"/>
      <c r="U41" s="57"/>
      <c r="V41" s="139"/>
      <c r="W41" s="70"/>
    </row>
    <row r="42" spans="2:23" ht="24.95" customHeight="1" thickBot="1">
      <c r="B42" s="56">
        <f t="shared" si="0"/>
        <v>31</v>
      </c>
      <c r="C42" s="293"/>
      <c r="D42" s="53">
        <v>0</v>
      </c>
      <c r="E42" s="95">
        <v>497278</v>
      </c>
      <c r="F42" s="65" t="s">
        <v>34</v>
      </c>
      <c r="G42" s="311" t="s">
        <v>78</v>
      </c>
      <c r="H42" s="312"/>
      <c r="I42" s="312"/>
      <c r="J42" s="313"/>
      <c r="K42" s="65" t="s">
        <v>34</v>
      </c>
      <c r="L42" s="60"/>
      <c r="M42" s="60" t="s">
        <v>36</v>
      </c>
      <c r="N42" s="61" t="s">
        <v>34</v>
      </c>
      <c r="O42" s="82"/>
      <c r="P42" s="148"/>
      <c r="Q42" s="57"/>
      <c r="R42" s="69"/>
      <c r="S42" s="68"/>
      <c r="T42" s="140"/>
      <c r="U42" s="57"/>
      <c r="V42" s="139"/>
      <c r="W42" s="70"/>
    </row>
    <row r="43" spans="2:23" ht="24.95" customHeight="1" thickBot="1">
      <c r="B43" s="56">
        <f t="shared" si="0"/>
        <v>32</v>
      </c>
      <c r="C43" s="293"/>
      <c r="D43" s="53">
        <v>0</v>
      </c>
      <c r="E43" s="94">
        <v>496064</v>
      </c>
      <c r="F43" s="65" t="s">
        <v>79</v>
      </c>
      <c r="G43" s="289" t="s">
        <v>80</v>
      </c>
      <c r="H43" s="290"/>
      <c r="I43" s="290"/>
      <c r="J43" s="291"/>
      <c r="K43" s="65" t="s">
        <v>34</v>
      </c>
      <c r="L43" s="60"/>
      <c r="M43" s="60" t="s">
        <v>36</v>
      </c>
      <c r="N43" s="61" t="s">
        <v>34</v>
      </c>
      <c r="O43" s="82"/>
      <c r="P43" s="148"/>
      <c r="Q43" s="57"/>
      <c r="R43" s="69"/>
      <c r="S43" s="68"/>
      <c r="T43" s="140"/>
      <c r="U43" s="57"/>
      <c r="V43" s="139"/>
      <c r="W43" s="70"/>
    </row>
    <row r="44" spans="2:23" ht="24.95" customHeight="1" thickBot="1">
      <c r="B44" s="56">
        <f t="shared" si="0"/>
        <v>33</v>
      </c>
      <c r="C44" s="293"/>
      <c r="D44" s="53">
        <v>0</v>
      </c>
      <c r="E44" s="94">
        <v>495093</v>
      </c>
      <c r="F44" s="65" t="s">
        <v>34</v>
      </c>
      <c r="G44" s="314" t="s">
        <v>81</v>
      </c>
      <c r="H44" s="315"/>
      <c r="I44" s="315"/>
      <c r="J44" s="316"/>
      <c r="K44" s="65" t="s">
        <v>34</v>
      </c>
      <c r="L44" s="60"/>
      <c r="M44" s="60" t="s">
        <v>36</v>
      </c>
      <c r="N44" s="61" t="e">
        <f>'Controle de Eslingas'!#REF!</f>
        <v>#REF!</v>
      </c>
      <c r="O44" s="82"/>
      <c r="P44" s="148"/>
      <c r="Q44" s="57"/>
      <c r="R44" s="60"/>
      <c r="S44" s="57"/>
      <c r="T44" s="139"/>
      <c r="U44" s="57"/>
      <c r="V44" s="139"/>
      <c r="W44" s="148"/>
    </row>
    <row r="45" spans="2:23" ht="24.95" customHeight="1" thickBot="1">
      <c r="B45" s="56">
        <f t="shared" si="0"/>
        <v>34</v>
      </c>
      <c r="C45" s="293"/>
      <c r="D45" s="53">
        <v>1</v>
      </c>
      <c r="E45" s="95">
        <v>495072</v>
      </c>
      <c r="F45" s="65" t="s">
        <v>34</v>
      </c>
      <c r="G45" s="311" t="s">
        <v>82</v>
      </c>
      <c r="H45" s="312"/>
      <c r="I45" s="312"/>
      <c r="J45" s="313"/>
      <c r="K45" s="65" t="s">
        <v>34</v>
      </c>
      <c r="L45" s="60"/>
      <c r="M45" s="60" t="s">
        <v>36</v>
      </c>
      <c r="N45" s="80" t="s">
        <v>34</v>
      </c>
      <c r="O45" s="82"/>
      <c r="P45" s="148"/>
      <c r="Q45" s="62"/>
      <c r="R45" s="67"/>
      <c r="S45" s="84"/>
      <c r="T45" s="143"/>
      <c r="U45" s="57"/>
      <c r="V45" s="139"/>
      <c r="W45" s="70"/>
    </row>
    <row r="46" spans="2:23" ht="24.95" customHeight="1" thickBot="1">
      <c r="B46" s="56">
        <f t="shared" si="0"/>
        <v>35</v>
      </c>
      <c r="C46" s="293"/>
      <c r="D46" s="53">
        <v>1</v>
      </c>
      <c r="E46" s="94">
        <v>495073</v>
      </c>
      <c r="F46" s="65" t="s">
        <v>83</v>
      </c>
      <c r="G46" s="289" t="s">
        <v>84</v>
      </c>
      <c r="H46" s="290"/>
      <c r="I46" s="290"/>
      <c r="J46" s="291"/>
      <c r="K46" s="65" t="s">
        <v>40</v>
      </c>
      <c r="L46" s="60"/>
      <c r="M46" s="60" t="s">
        <v>36</v>
      </c>
      <c r="N46" s="61" t="s">
        <v>34</v>
      </c>
      <c r="O46" s="82"/>
      <c r="P46" s="148"/>
      <c r="Q46" s="62">
        <v>326245906</v>
      </c>
      <c r="R46" s="67" t="s">
        <v>49</v>
      </c>
      <c r="S46" s="68"/>
      <c r="T46" s="140"/>
      <c r="U46" s="57" t="s">
        <v>41</v>
      </c>
      <c r="V46" s="139" t="s">
        <v>3</v>
      </c>
      <c r="W46" s="70"/>
    </row>
    <row r="47" spans="2:23" ht="24.95" customHeight="1" thickBot="1">
      <c r="B47" s="56">
        <f t="shared" si="0"/>
        <v>36</v>
      </c>
      <c r="C47" s="293"/>
      <c r="D47" s="53">
        <v>1</v>
      </c>
      <c r="E47" s="94">
        <v>495074</v>
      </c>
      <c r="F47" s="65" t="s">
        <v>85</v>
      </c>
      <c r="G47" s="289" t="s">
        <v>86</v>
      </c>
      <c r="H47" s="290"/>
      <c r="I47" s="290"/>
      <c r="J47" s="291"/>
      <c r="K47" s="65" t="s">
        <v>40</v>
      </c>
      <c r="L47" s="60"/>
      <c r="M47" s="60" t="s">
        <v>36</v>
      </c>
      <c r="N47" s="61" t="s">
        <v>34</v>
      </c>
      <c r="O47" s="82"/>
      <c r="P47" s="148"/>
      <c r="Q47" s="62">
        <v>326245906</v>
      </c>
      <c r="R47" s="66" t="s">
        <v>49</v>
      </c>
      <c r="S47" s="57"/>
      <c r="T47" s="139"/>
      <c r="U47" s="57" t="s">
        <v>41</v>
      </c>
      <c r="V47" s="139" t="s">
        <v>3</v>
      </c>
      <c r="W47" s="70"/>
    </row>
    <row r="48" spans="2:23" ht="24.95" customHeight="1" thickBot="1">
      <c r="B48" s="71">
        <f t="shared" si="0"/>
        <v>37</v>
      </c>
      <c r="C48" s="294"/>
      <c r="D48" s="53">
        <v>0</v>
      </c>
      <c r="E48" s="97">
        <v>496061</v>
      </c>
      <c r="F48" s="65" t="s">
        <v>34</v>
      </c>
      <c r="G48" s="308" t="s">
        <v>87</v>
      </c>
      <c r="H48" s="309"/>
      <c r="I48" s="309"/>
      <c r="J48" s="310"/>
      <c r="K48" s="156" t="s">
        <v>34</v>
      </c>
      <c r="L48" s="60"/>
      <c r="M48" s="60" t="s">
        <v>36</v>
      </c>
      <c r="N48" s="99" t="s">
        <v>34</v>
      </c>
      <c r="O48" s="82"/>
      <c r="P48" s="148"/>
      <c r="Q48" s="96"/>
      <c r="R48" s="98"/>
      <c r="S48" s="96"/>
      <c r="T48" s="144"/>
      <c r="U48" s="57"/>
      <c r="V48" s="139"/>
      <c r="W48" s="70"/>
    </row>
    <row r="49" spans="2:23" ht="24.95" customHeight="1" thickBot="1">
      <c r="B49" s="52">
        <f t="shared" si="0"/>
        <v>38</v>
      </c>
      <c r="C49" s="292" t="s">
        <v>88</v>
      </c>
      <c r="D49" s="53">
        <v>1</v>
      </c>
      <c r="E49" s="101">
        <v>495070</v>
      </c>
      <c r="F49" s="65" t="s">
        <v>89</v>
      </c>
      <c r="G49" s="305" t="s">
        <v>90</v>
      </c>
      <c r="H49" s="306"/>
      <c r="I49" s="306"/>
      <c r="J49" s="307"/>
      <c r="K49" s="65" t="s">
        <v>54</v>
      </c>
      <c r="L49" s="60"/>
      <c r="M49" s="60" t="s">
        <v>36</v>
      </c>
      <c r="N49" s="55" t="s">
        <v>34</v>
      </c>
      <c r="O49" s="82"/>
      <c r="P49" s="148"/>
      <c r="Q49" s="62">
        <v>326274225</v>
      </c>
      <c r="R49" s="160">
        <v>46035</v>
      </c>
      <c r="S49" s="68"/>
      <c r="T49" s="140"/>
      <c r="U49" s="57" t="s">
        <v>91</v>
      </c>
      <c r="V49" s="139" t="s">
        <v>3</v>
      </c>
      <c r="W49" s="93"/>
    </row>
    <row r="50" spans="2:23" ht="24.95" customHeight="1" thickBot="1">
      <c r="B50" s="56">
        <f t="shared" si="0"/>
        <v>39</v>
      </c>
      <c r="C50" s="293"/>
      <c r="D50" s="53">
        <v>1</v>
      </c>
      <c r="E50" s="58">
        <v>495622</v>
      </c>
      <c r="F50" s="65" t="s">
        <v>92</v>
      </c>
      <c r="G50" s="267" t="s">
        <v>93</v>
      </c>
      <c r="H50" s="268"/>
      <c r="I50" s="268"/>
      <c r="J50" s="269"/>
      <c r="K50" s="65" t="s">
        <v>54</v>
      </c>
      <c r="L50" s="60"/>
      <c r="M50" s="60" t="s">
        <v>36</v>
      </c>
      <c r="N50" s="61" t="s">
        <v>34</v>
      </c>
      <c r="O50" s="82"/>
      <c r="P50" s="148"/>
      <c r="Q50" s="62">
        <v>326274225</v>
      </c>
      <c r="R50" s="160">
        <v>46035</v>
      </c>
      <c r="S50" s="68"/>
      <c r="T50" s="140"/>
      <c r="U50" s="57" t="s">
        <v>91</v>
      </c>
      <c r="V50" s="139" t="s">
        <v>3</v>
      </c>
      <c r="W50" s="70"/>
    </row>
    <row r="51" spans="2:23" ht="24.95" customHeight="1" thickBot="1">
      <c r="B51" s="56">
        <f t="shared" si="0"/>
        <v>40</v>
      </c>
      <c r="C51" s="293"/>
      <c r="D51" s="53">
        <v>1</v>
      </c>
      <c r="E51" s="58">
        <v>495071</v>
      </c>
      <c r="F51" s="65" t="s">
        <v>94</v>
      </c>
      <c r="G51" s="270" t="s">
        <v>95</v>
      </c>
      <c r="H51" s="271"/>
      <c r="I51" s="271"/>
      <c r="J51" s="272"/>
      <c r="K51" s="65" t="s">
        <v>54</v>
      </c>
      <c r="L51" s="60"/>
      <c r="M51" s="60" t="s">
        <v>36</v>
      </c>
      <c r="N51" s="61" t="s">
        <v>34</v>
      </c>
      <c r="O51" s="82"/>
      <c r="P51" s="148"/>
      <c r="Q51" s="62">
        <v>326245763</v>
      </c>
      <c r="R51" s="160">
        <v>46032</v>
      </c>
      <c r="S51" s="68"/>
      <c r="T51" s="140"/>
      <c r="U51" s="57" t="s">
        <v>41</v>
      </c>
      <c r="V51" s="139" t="s">
        <v>3</v>
      </c>
      <c r="W51" s="70"/>
    </row>
    <row r="52" spans="2:23" ht="24.95" customHeight="1" thickBot="1">
      <c r="B52" s="56">
        <f t="shared" si="0"/>
        <v>41</v>
      </c>
      <c r="C52" s="293"/>
      <c r="D52" s="53">
        <v>1</v>
      </c>
      <c r="E52" s="58">
        <v>495617</v>
      </c>
      <c r="F52" s="65" t="s">
        <v>96</v>
      </c>
      <c r="G52" s="267" t="s">
        <v>97</v>
      </c>
      <c r="H52" s="268"/>
      <c r="I52" s="268"/>
      <c r="J52" s="269"/>
      <c r="K52" s="65" t="s">
        <v>54</v>
      </c>
      <c r="L52" s="60"/>
      <c r="M52" s="60" t="s">
        <v>36</v>
      </c>
      <c r="N52" s="61" t="s">
        <v>34</v>
      </c>
      <c r="O52" s="82"/>
      <c r="P52" s="148"/>
      <c r="Q52" s="57">
        <v>326245763</v>
      </c>
      <c r="R52" s="67">
        <v>46032</v>
      </c>
      <c r="S52" s="68"/>
      <c r="T52" s="140"/>
      <c r="U52" s="57" t="s">
        <v>41</v>
      </c>
      <c r="V52" s="139" t="s">
        <v>3</v>
      </c>
      <c r="W52" s="70"/>
    </row>
    <row r="53" spans="2:23" ht="24.95" customHeight="1" thickBot="1">
      <c r="B53" s="56">
        <f t="shared" si="0"/>
        <v>42</v>
      </c>
      <c r="C53" s="293"/>
      <c r="D53" s="53">
        <v>1</v>
      </c>
      <c r="E53" s="58">
        <v>495619</v>
      </c>
      <c r="F53" s="65" t="s">
        <v>98</v>
      </c>
      <c r="G53" s="270" t="s">
        <v>99</v>
      </c>
      <c r="H53" s="271"/>
      <c r="I53" s="271"/>
      <c r="J53" s="272"/>
      <c r="K53" s="65" t="s">
        <v>54</v>
      </c>
      <c r="L53" s="60"/>
      <c r="M53" s="60" t="s">
        <v>36</v>
      </c>
      <c r="N53" s="61" t="s">
        <v>34</v>
      </c>
      <c r="O53" s="82"/>
      <c r="P53" s="148"/>
      <c r="Q53" s="57"/>
      <c r="R53" s="69"/>
      <c r="S53" s="68"/>
      <c r="T53" s="140"/>
      <c r="U53" s="57"/>
      <c r="V53" s="139"/>
      <c r="W53" s="70"/>
    </row>
    <row r="54" spans="2:23" ht="24.95" customHeight="1" thickBot="1">
      <c r="B54" s="56">
        <f t="shared" si="0"/>
        <v>43</v>
      </c>
      <c r="C54" s="293"/>
      <c r="D54" s="53">
        <v>1</v>
      </c>
      <c r="E54" s="58">
        <v>496062</v>
      </c>
      <c r="F54" s="65" t="s">
        <v>100</v>
      </c>
      <c r="G54" s="267" t="s">
        <v>101</v>
      </c>
      <c r="H54" s="268"/>
      <c r="I54" s="268"/>
      <c r="J54" s="269"/>
      <c r="K54" s="65" t="s">
        <v>54</v>
      </c>
      <c r="L54" s="60"/>
      <c r="M54" s="60" t="s">
        <v>36</v>
      </c>
      <c r="N54" s="89" t="s">
        <v>34</v>
      </c>
      <c r="O54" s="82"/>
      <c r="P54" s="148"/>
      <c r="Q54" s="62">
        <v>326274225</v>
      </c>
      <c r="R54" s="160">
        <v>46035</v>
      </c>
      <c r="S54" s="68"/>
      <c r="T54" s="140"/>
      <c r="U54" s="57" t="s">
        <v>91</v>
      </c>
      <c r="V54" s="139" t="s">
        <v>3</v>
      </c>
      <c r="W54" s="70"/>
    </row>
    <row r="55" spans="2:23" ht="24.95" customHeight="1" thickBot="1">
      <c r="B55" s="71">
        <f t="shared" si="0"/>
        <v>44</v>
      </c>
      <c r="C55" s="294"/>
      <c r="D55" s="53">
        <v>2</v>
      </c>
      <c r="E55" s="73">
        <v>495623</v>
      </c>
      <c r="F55" s="65" t="s">
        <v>102</v>
      </c>
      <c r="G55" s="317" t="s">
        <v>103</v>
      </c>
      <c r="H55" s="318"/>
      <c r="I55" s="318"/>
      <c r="J55" s="319"/>
      <c r="K55" s="65" t="s">
        <v>54</v>
      </c>
      <c r="L55" s="60"/>
      <c r="M55" s="60" t="s">
        <v>36</v>
      </c>
      <c r="N55" s="75" t="s">
        <v>34</v>
      </c>
      <c r="O55" s="355"/>
      <c r="P55" s="356"/>
      <c r="Q55" s="62">
        <v>326245914</v>
      </c>
      <c r="R55" s="67">
        <v>46032</v>
      </c>
      <c r="S55" s="72"/>
      <c r="T55" s="141"/>
      <c r="U55" s="57" t="s">
        <v>41</v>
      </c>
      <c r="V55" s="139" t="s">
        <v>3</v>
      </c>
      <c r="W55" s="149"/>
    </row>
    <row r="56" spans="2:23" ht="24.95" customHeight="1" thickBot="1">
      <c r="B56" s="52">
        <f t="shared" si="0"/>
        <v>45</v>
      </c>
      <c r="C56" s="292" t="s">
        <v>104</v>
      </c>
      <c r="D56" s="53">
        <v>0</v>
      </c>
      <c r="E56" s="54">
        <v>495016</v>
      </c>
      <c r="F56" s="65" t="s">
        <v>34</v>
      </c>
      <c r="G56" s="329" t="s">
        <v>105</v>
      </c>
      <c r="H56" s="330"/>
      <c r="I56" s="330"/>
      <c r="J56" s="331"/>
      <c r="K56" s="65" t="s">
        <v>34</v>
      </c>
      <c r="L56" s="60"/>
      <c r="M56" s="60" t="s">
        <v>36</v>
      </c>
      <c r="N56" s="55" t="e">
        <f>'Controle de Eslingas'!#REF!</f>
        <v>#REF!</v>
      </c>
      <c r="O56" s="82"/>
      <c r="P56" s="148"/>
      <c r="Q56" s="57"/>
      <c r="R56" s="160"/>
      <c r="S56" s="53"/>
      <c r="T56" s="144"/>
      <c r="U56" s="57"/>
      <c r="V56" s="139"/>
      <c r="W56" s="147"/>
    </row>
    <row r="57" spans="2:23" ht="24.95" customHeight="1" thickBot="1">
      <c r="B57" s="56">
        <f t="shared" si="0"/>
        <v>46</v>
      </c>
      <c r="C57" s="293"/>
      <c r="D57" s="53">
        <v>0</v>
      </c>
      <c r="E57" s="63">
        <v>495017</v>
      </c>
      <c r="F57" s="65" t="s">
        <v>34</v>
      </c>
      <c r="G57" s="267" t="s">
        <v>106</v>
      </c>
      <c r="H57" s="268"/>
      <c r="I57" s="268"/>
      <c r="J57" s="269"/>
      <c r="K57" s="65" t="s">
        <v>34</v>
      </c>
      <c r="L57" s="60"/>
      <c r="M57" s="60" t="s">
        <v>36</v>
      </c>
      <c r="N57" s="61" t="s">
        <v>34</v>
      </c>
      <c r="O57" s="82"/>
      <c r="P57" s="148"/>
      <c r="Q57" s="57"/>
      <c r="R57" s="160"/>
      <c r="S57" s="53"/>
      <c r="T57" s="144"/>
      <c r="U57" s="57"/>
      <c r="V57" s="139"/>
      <c r="W57" s="148"/>
    </row>
    <row r="58" spans="2:23" ht="24.95" customHeight="1" thickBot="1">
      <c r="B58" s="56">
        <f t="shared" si="0"/>
        <v>47</v>
      </c>
      <c r="C58" s="293"/>
      <c r="D58" s="53">
        <v>0</v>
      </c>
      <c r="E58" s="78" t="s">
        <v>34</v>
      </c>
      <c r="F58" s="65" t="s">
        <v>34</v>
      </c>
      <c r="G58" s="267" t="s">
        <v>107</v>
      </c>
      <c r="H58" s="268"/>
      <c r="I58" s="268"/>
      <c r="J58" s="269"/>
      <c r="K58" s="65" t="s">
        <v>34</v>
      </c>
      <c r="L58" s="60"/>
      <c r="M58" s="60" t="s">
        <v>36</v>
      </c>
      <c r="N58" s="61" t="s">
        <v>34</v>
      </c>
      <c r="O58" s="82"/>
      <c r="P58" s="148"/>
      <c r="Q58" s="57"/>
      <c r="R58" s="66"/>
      <c r="S58" s="53"/>
      <c r="T58" s="144"/>
      <c r="U58" s="57"/>
      <c r="V58" s="139"/>
      <c r="W58" s="86"/>
    </row>
    <row r="59" spans="2:23" ht="24.95" customHeight="1" thickBot="1">
      <c r="B59" s="56">
        <f t="shared" si="0"/>
        <v>48</v>
      </c>
      <c r="C59" s="293"/>
      <c r="D59" s="53">
        <v>1</v>
      </c>
      <c r="E59" s="58">
        <v>495022</v>
      </c>
      <c r="F59" s="65" t="s">
        <v>108</v>
      </c>
      <c r="G59" s="270" t="s">
        <v>109</v>
      </c>
      <c r="H59" s="271"/>
      <c r="I59" s="271"/>
      <c r="J59" s="272"/>
      <c r="K59" s="65" t="s">
        <v>40</v>
      </c>
      <c r="L59" s="60"/>
      <c r="M59" s="60" t="s">
        <v>36</v>
      </c>
      <c r="N59" s="61" t="s">
        <v>34</v>
      </c>
      <c r="O59" s="82"/>
      <c r="P59" s="148"/>
      <c r="Q59" s="57">
        <v>326279893</v>
      </c>
      <c r="R59" s="66">
        <v>46035</v>
      </c>
      <c r="S59" s="140"/>
      <c r="T59" s="140"/>
      <c r="U59" s="57" t="s">
        <v>41</v>
      </c>
      <c r="V59" s="139" t="s">
        <v>3</v>
      </c>
      <c r="W59" s="70"/>
    </row>
    <row r="60" spans="2:23" ht="24.95" customHeight="1" thickBot="1">
      <c r="B60" s="56">
        <f t="shared" si="0"/>
        <v>49</v>
      </c>
      <c r="C60" s="293"/>
      <c r="D60" s="53">
        <v>1</v>
      </c>
      <c r="E60" s="58">
        <v>495023</v>
      </c>
      <c r="F60" s="65" t="s">
        <v>110</v>
      </c>
      <c r="G60" s="267" t="s">
        <v>111</v>
      </c>
      <c r="H60" s="268"/>
      <c r="I60" s="268"/>
      <c r="J60" s="269"/>
      <c r="K60" s="65" t="s">
        <v>40</v>
      </c>
      <c r="L60" s="60"/>
      <c r="M60" s="60" t="s">
        <v>36</v>
      </c>
      <c r="N60" s="61" t="s">
        <v>34</v>
      </c>
      <c r="O60" s="82"/>
      <c r="P60" s="148"/>
      <c r="Q60" s="57">
        <v>326279893</v>
      </c>
      <c r="R60" s="66">
        <v>46035</v>
      </c>
      <c r="S60" s="140"/>
      <c r="T60" s="140"/>
      <c r="U60" s="57" t="s">
        <v>41</v>
      </c>
      <c r="V60" s="139" t="s">
        <v>3</v>
      </c>
      <c r="W60" s="70"/>
    </row>
    <row r="61" spans="2:23" ht="24.95" customHeight="1" thickBot="1">
      <c r="B61" s="56">
        <f t="shared" si="0"/>
        <v>50</v>
      </c>
      <c r="C61" s="293"/>
      <c r="D61" s="53">
        <v>0</v>
      </c>
      <c r="E61" s="58" t="s">
        <v>34</v>
      </c>
      <c r="F61" s="65" t="s">
        <v>34</v>
      </c>
      <c r="G61" s="267" t="s">
        <v>107</v>
      </c>
      <c r="H61" s="268"/>
      <c r="I61" s="268"/>
      <c r="J61" s="269"/>
      <c r="K61" s="65" t="s">
        <v>34</v>
      </c>
      <c r="L61" s="60"/>
      <c r="M61" s="60" t="s">
        <v>36</v>
      </c>
      <c r="N61" s="61" t="s">
        <v>34</v>
      </c>
      <c r="O61" s="82"/>
      <c r="P61" s="148"/>
      <c r="Q61" s="57"/>
      <c r="R61" s="66"/>
      <c r="S61" s="140"/>
      <c r="T61" s="140"/>
      <c r="U61" s="57"/>
      <c r="V61" s="139"/>
      <c r="W61" s="149"/>
    </row>
    <row r="62" spans="2:23" ht="24.95" customHeight="1" thickBot="1">
      <c r="B62" s="56">
        <f t="shared" si="0"/>
        <v>51</v>
      </c>
      <c r="C62" s="293"/>
      <c r="D62" s="53">
        <v>0</v>
      </c>
      <c r="E62" s="58">
        <v>495031</v>
      </c>
      <c r="F62" s="65" t="s">
        <v>34</v>
      </c>
      <c r="G62" s="270" t="s">
        <v>112</v>
      </c>
      <c r="H62" s="271"/>
      <c r="I62" s="271"/>
      <c r="J62" s="272"/>
      <c r="K62" s="65" t="s">
        <v>34</v>
      </c>
      <c r="L62" s="60"/>
      <c r="M62" s="60" t="s">
        <v>36</v>
      </c>
      <c r="N62" s="61" t="e">
        <f>'Controle de Eslingas'!#REF!</f>
        <v>#REF!</v>
      </c>
      <c r="O62" s="82"/>
      <c r="P62" s="148"/>
      <c r="Q62" s="57"/>
      <c r="R62" s="160"/>
      <c r="S62" s="140"/>
      <c r="T62" s="140"/>
      <c r="U62" s="57"/>
      <c r="V62" s="139"/>
      <c r="W62" s="70"/>
    </row>
    <row r="63" spans="2:23" ht="24.95" customHeight="1" thickBot="1">
      <c r="B63" s="56">
        <f t="shared" si="0"/>
        <v>52</v>
      </c>
      <c r="C63" s="293"/>
      <c r="D63" s="53">
        <v>0</v>
      </c>
      <c r="E63" s="58">
        <v>495032</v>
      </c>
      <c r="F63" s="65" t="s">
        <v>34</v>
      </c>
      <c r="G63" s="267" t="s">
        <v>113</v>
      </c>
      <c r="H63" s="268"/>
      <c r="I63" s="268"/>
      <c r="J63" s="269"/>
      <c r="K63" s="65" t="s">
        <v>34</v>
      </c>
      <c r="L63" s="60"/>
      <c r="M63" s="60" t="s">
        <v>36</v>
      </c>
      <c r="N63" s="61" t="s">
        <v>34</v>
      </c>
      <c r="O63" s="82"/>
      <c r="P63" s="148"/>
      <c r="Q63" s="57"/>
      <c r="R63" s="69"/>
      <c r="S63" s="140"/>
      <c r="T63" s="140"/>
      <c r="U63" s="57"/>
      <c r="V63" s="139"/>
      <c r="W63" s="70"/>
    </row>
    <row r="64" spans="2:23" ht="24.95" customHeight="1" thickBot="1">
      <c r="B64" s="56">
        <f t="shared" si="0"/>
        <v>53</v>
      </c>
      <c r="C64" s="293"/>
      <c r="D64" s="53">
        <v>0</v>
      </c>
      <c r="E64" s="58">
        <v>495031</v>
      </c>
      <c r="F64" s="65" t="s">
        <v>34</v>
      </c>
      <c r="G64" s="270" t="s">
        <v>112</v>
      </c>
      <c r="H64" s="271"/>
      <c r="I64" s="271"/>
      <c r="J64" s="272"/>
      <c r="K64" s="65" t="s">
        <v>34</v>
      </c>
      <c r="L64" s="60"/>
      <c r="M64" s="60" t="s">
        <v>36</v>
      </c>
      <c r="N64" s="61" t="e">
        <f>'Controle de Eslingas'!#REF!</f>
        <v>#REF!</v>
      </c>
      <c r="O64" s="82"/>
      <c r="P64" s="148"/>
      <c r="Q64" s="57"/>
      <c r="R64" s="69"/>
      <c r="S64" s="68"/>
      <c r="T64" s="140"/>
      <c r="U64" s="57"/>
      <c r="V64" s="139"/>
      <c r="W64" s="70"/>
    </row>
    <row r="65" spans="2:24" ht="24.95" customHeight="1" thickBot="1">
      <c r="B65" s="56">
        <f t="shared" si="0"/>
        <v>54</v>
      </c>
      <c r="C65" s="293"/>
      <c r="D65" s="53">
        <v>0</v>
      </c>
      <c r="E65" s="58">
        <v>495032</v>
      </c>
      <c r="F65" s="65" t="s">
        <v>34</v>
      </c>
      <c r="G65" s="267" t="s">
        <v>113</v>
      </c>
      <c r="H65" s="268"/>
      <c r="I65" s="268"/>
      <c r="J65" s="269"/>
      <c r="K65" s="65" t="s">
        <v>34</v>
      </c>
      <c r="L65" s="60"/>
      <c r="M65" s="60" t="s">
        <v>36</v>
      </c>
      <c r="N65" s="61" t="s">
        <v>34</v>
      </c>
      <c r="O65" s="82"/>
      <c r="P65" s="148"/>
      <c r="Q65" s="57"/>
      <c r="R65" s="69"/>
      <c r="S65" s="68"/>
      <c r="T65" s="140"/>
      <c r="U65" s="57"/>
      <c r="V65" s="139"/>
      <c r="W65" s="69"/>
      <c r="X65" s="8"/>
    </row>
    <row r="66" spans="2:24" ht="24.95" customHeight="1" thickBot="1">
      <c r="B66" s="56">
        <f t="shared" si="0"/>
        <v>55</v>
      </c>
      <c r="C66" s="293"/>
      <c r="D66" s="53">
        <v>0</v>
      </c>
      <c r="E66" s="58">
        <v>495035</v>
      </c>
      <c r="F66" s="65" t="s">
        <v>34</v>
      </c>
      <c r="G66" s="267" t="s">
        <v>114</v>
      </c>
      <c r="H66" s="268"/>
      <c r="I66" s="268"/>
      <c r="J66" s="269"/>
      <c r="K66" s="65" t="s">
        <v>34</v>
      </c>
      <c r="L66" s="60"/>
      <c r="M66" s="60" t="s">
        <v>36</v>
      </c>
      <c r="N66" s="61" t="s">
        <v>34</v>
      </c>
      <c r="O66" s="82"/>
      <c r="P66" s="148"/>
      <c r="Q66" s="57"/>
      <c r="R66" s="69"/>
      <c r="S66" s="68"/>
      <c r="T66" s="140"/>
      <c r="U66" s="57"/>
      <c r="V66" s="139"/>
      <c r="W66" s="70"/>
    </row>
    <row r="67" spans="2:24" ht="24.95" customHeight="1" thickBot="1">
      <c r="B67" s="56">
        <f t="shared" si="0"/>
        <v>56</v>
      </c>
      <c r="C67" s="293"/>
      <c r="D67" s="53">
        <v>0</v>
      </c>
      <c r="E67" s="58">
        <v>495041</v>
      </c>
      <c r="F67" s="65" t="s">
        <v>34</v>
      </c>
      <c r="G67" s="270" t="s">
        <v>115</v>
      </c>
      <c r="H67" s="271"/>
      <c r="I67" s="271"/>
      <c r="J67" s="272"/>
      <c r="K67" s="65" t="s">
        <v>34</v>
      </c>
      <c r="L67" s="60"/>
      <c r="M67" s="60" t="s">
        <v>36</v>
      </c>
      <c r="N67" s="61" t="e">
        <f>'Controle de Eslingas'!#REF!</f>
        <v>#REF!</v>
      </c>
      <c r="O67" s="82"/>
      <c r="P67" s="148"/>
      <c r="Q67" s="57"/>
      <c r="R67" s="69"/>
      <c r="S67" s="68"/>
      <c r="T67" s="140"/>
      <c r="U67" s="57"/>
      <c r="V67" s="139"/>
      <c r="W67" s="70"/>
    </row>
    <row r="68" spans="2:24" ht="24.95" customHeight="1" thickBot="1">
      <c r="B68" s="71">
        <f t="shared" si="0"/>
        <v>57</v>
      </c>
      <c r="C68" s="294"/>
      <c r="D68" s="53">
        <v>0</v>
      </c>
      <c r="E68" s="73">
        <v>495042</v>
      </c>
      <c r="F68" s="65" t="s">
        <v>34</v>
      </c>
      <c r="G68" s="317" t="s">
        <v>116</v>
      </c>
      <c r="H68" s="318"/>
      <c r="I68" s="318"/>
      <c r="J68" s="319"/>
      <c r="K68" s="65" t="s">
        <v>34</v>
      </c>
      <c r="L68" s="60"/>
      <c r="M68" s="60" t="s">
        <v>36</v>
      </c>
      <c r="N68" s="75" t="s">
        <v>34</v>
      </c>
      <c r="O68" s="82"/>
      <c r="P68" s="148"/>
      <c r="Q68" s="72"/>
      <c r="R68" s="74"/>
      <c r="S68" s="72"/>
      <c r="T68" s="141"/>
      <c r="U68" s="57"/>
      <c r="V68" s="139"/>
      <c r="W68" s="149"/>
    </row>
    <row r="69" spans="2:24" ht="24.95" customHeight="1" thickBot="1">
      <c r="B69" s="52">
        <f t="shared" si="0"/>
        <v>58</v>
      </c>
      <c r="C69" s="292" t="s">
        <v>117</v>
      </c>
      <c r="D69" s="53">
        <v>0</v>
      </c>
      <c r="E69" s="101">
        <v>495008</v>
      </c>
      <c r="F69" s="65" t="s">
        <v>34</v>
      </c>
      <c r="G69" s="329" t="s">
        <v>118</v>
      </c>
      <c r="H69" s="330"/>
      <c r="I69" s="330"/>
      <c r="J69" s="331"/>
      <c r="K69" s="65" t="s">
        <v>34</v>
      </c>
      <c r="L69" s="60"/>
      <c r="M69" s="60" t="s">
        <v>36</v>
      </c>
      <c r="N69" s="61" t="s">
        <v>34</v>
      </c>
      <c r="O69" s="82"/>
      <c r="P69" s="148"/>
      <c r="Q69" s="57"/>
      <c r="R69" s="105"/>
      <c r="S69" s="90"/>
      <c r="T69" s="145"/>
      <c r="U69" s="57"/>
      <c r="V69" s="139"/>
      <c r="W69" s="93"/>
    </row>
    <row r="70" spans="2:24" ht="24.95" customHeight="1" thickBot="1">
      <c r="B70" s="56">
        <f t="shared" si="0"/>
        <v>59</v>
      </c>
      <c r="C70" s="293"/>
      <c r="D70" s="53">
        <v>0</v>
      </c>
      <c r="E70" s="58" t="s">
        <v>34</v>
      </c>
      <c r="F70" s="65" t="s">
        <v>34</v>
      </c>
      <c r="G70" s="267" t="s">
        <v>119</v>
      </c>
      <c r="H70" s="268"/>
      <c r="I70" s="268"/>
      <c r="J70" s="269"/>
      <c r="K70" s="65" t="s">
        <v>34</v>
      </c>
      <c r="L70" s="60"/>
      <c r="M70" s="60" t="s">
        <v>36</v>
      </c>
      <c r="N70" s="61" t="s">
        <v>34</v>
      </c>
      <c r="O70" s="82"/>
      <c r="P70" s="148"/>
      <c r="Q70" s="57"/>
      <c r="R70" s="67"/>
      <c r="S70" s="68"/>
      <c r="T70" s="140"/>
      <c r="U70" s="57"/>
      <c r="V70" s="139"/>
      <c r="W70" s="70"/>
    </row>
    <row r="71" spans="2:24" ht="24.95" customHeight="1" thickBot="1">
      <c r="B71" s="56">
        <f t="shared" si="0"/>
        <v>60</v>
      </c>
      <c r="C71" s="293"/>
      <c r="D71" s="53">
        <v>0</v>
      </c>
      <c r="E71" s="58" t="s">
        <v>34</v>
      </c>
      <c r="F71" s="65" t="s">
        <v>34</v>
      </c>
      <c r="G71" s="267" t="s">
        <v>120</v>
      </c>
      <c r="H71" s="268"/>
      <c r="I71" s="268"/>
      <c r="J71" s="269"/>
      <c r="K71" s="65" t="s">
        <v>34</v>
      </c>
      <c r="L71" s="60"/>
      <c r="M71" s="60" t="s">
        <v>36</v>
      </c>
      <c r="N71" s="61" t="s">
        <v>34</v>
      </c>
      <c r="O71" s="82"/>
      <c r="P71" s="148"/>
      <c r="Q71" s="57"/>
      <c r="R71" s="69"/>
      <c r="S71" s="68"/>
      <c r="T71" s="140"/>
      <c r="U71" s="57"/>
      <c r="V71" s="139"/>
      <c r="W71" s="70"/>
    </row>
    <row r="72" spans="2:24" ht="24.95" customHeight="1" thickBot="1">
      <c r="B72" s="56">
        <f t="shared" si="0"/>
        <v>61</v>
      </c>
      <c r="C72" s="293"/>
      <c r="D72" s="53">
        <v>0</v>
      </c>
      <c r="E72" s="58" t="s">
        <v>34</v>
      </c>
      <c r="F72" s="65" t="s">
        <v>34</v>
      </c>
      <c r="G72" s="267" t="s">
        <v>121</v>
      </c>
      <c r="H72" s="268"/>
      <c r="I72" s="268"/>
      <c r="J72" s="269"/>
      <c r="K72" s="65" t="s">
        <v>34</v>
      </c>
      <c r="L72" s="60"/>
      <c r="M72" s="60" t="s">
        <v>36</v>
      </c>
      <c r="N72" s="61" t="s">
        <v>34</v>
      </c>
      <c r="O72" s="82"/>
      <c r="P72" s="148"/>
      <c r="Q72" s="57"/>
      <c r="R72" s="69"/>
      <c r="S72" s="68"/>
      <c r="T72" s="140"/>
      <c r="U72" s="57"/>
      <c r="V72" s="139"/>
      <c r="W72" s="70"/>
    </row>
    <row r="73" spans="2:24" ht="24.95" customHeight="1" thickBot="1">
      <c r="B73" s="56">
        <f t="shared" si="0"/>
        <v>62</v>
      </c>
      <c r="C73" s="293"/>
      <c r="D73" s="53">
        <v>0</v>
      </c>
      <c r="E73" s="58" t="s">
        <v>34</v>
      </c>
      <c r="F73" s="65" t="s">
        <v>34</v>
      </c>
      <c r="G73" s="267" t="s">
        <v>122</v>
      </c>
      <c r="H73" s="268"/>
      <c r="I73" s="268"/>
      <c r="J73" s="269"/>
      <c r="K73" s="65" t="s">
        <v>34</v>
      </c>
      <c r="L73" s="60"/>
      <c r="M73" s="60" t="s">
        <v>36</v>
      </c>
      <c r="N73" s="61" t="s">
        <v>34</v>
      </c>
      <c r="O73" s="82"/>
      <c r="P73" s="148"/>
      <c r="Q73" s="57"/>
      <c r="R73" s="69"/>
      <c r="S73" s="68"/>
      <c r="T73" s="140"/>
      <c r="U73" s="57"/>
      <c r="V73" s="139"/>
      <c r="W73" s="70"/>
    </row>
    <row r="74" spans="2:24" ht="24.95" customHeight="1" thickBot="1">
      <c r="B74" s="56">
        <f t="shared" si="0"/>
        <v>63</v>
      </c>
      <c r="C74" s="293"/>
      <c r="D74" s="53">
        <v>0</v>
      </c>
      <c r="E74" s="58">
        <v>498056</v>
      </c>
      <c r="F74" s="65" t="s">
        <v>34</v>
      </c>
      <c r="G74" s="270" t="s">
        <v>123</v>
      </c>
      <c r="H74" s="271"/>
      <c r="I74" s="271"/>
      <c r="J74" s="272"/>
      <c r="K74" s="65" t="s">
        <v>34</v>
      </c>
      <c r="L74" s="60"/>
      <c r="M74" s="60" t="s">
        <v>36</v>
      </c>
      <c r="N74" s="61" t="s">
        <v>34</v>
      </c>
      <c r="O74" s="82"/>
      <c r="P74" s="148"/>
      <c r="Q74" s="57"/>
      <c r="R74" s="67"/>
      <c r="S74" s="68"/>
      <c r="T74" s="140"/>
      <c r="U74" s="57"/>
      <c r="V74" s="139"/>
      <c r="W74" s="70"/>
    </row>
    <row r="75" spans="2:24" ht="24.95" customHeight="1" thickBot="1">
      <c r="B75" s="56">
        <f t="shared" si="0"/>
        <v>64</v>
      </c>
      <c r="C75" s="293"/>
      <c r="D75" s="53">
        <v>0</v>
      </c>
      <c r="E75" s="58" t="s">
        <v>34</v>
      </c>
      <c r="F75" s="65" t="s">
        <v>34</v>
      </c>
      <c r="G75" s="267" t="s">
        <v>124</v>
      </c>
      <c r="H75" s="268"/>
      <c r="I75" s="268"/>
      <c r="J75" s="269"/>
      <c r="K75" s="65" t="s">
        <v>34</v>
      </c>
      <c r="L75" s="60"/>
      <c r="M75" s="60" t="s">
        <v>36</v>
      </c>
      <c r="N75" s="61" t="s">
        <v>34</v>
      </c>
      <c r="O75" s="82"/>
      <c r="P75" s="148"/>
      <c r="Q75" s="57"/>
      <c r="R75" s="69"/>
      <c r="S75" s="68"/>
      <c r="T75" s="140"/>
      <c r="U75" s="57"/>
      <c r="V75" s="139"/>
      <c r="W75" s="70"/>
    </row>
    <row r="76" spans="2:24" ht="24.95" customHeight="1" thickBot="1">
      <c r="B76" s="56">
        <f t="shared" si="0"/>
        <v>65</v>
      </c>
      <c r="C76" s="293"/>
      <c r="D76" s="53">
        <v>0</v>
      </c>
      <c r="E76" s="58" t="s">
        <v>34</v>
      </c>
      <c r="F76" s="65" t="s">
        <v>34</v>
      </c>
      <c r="G76" s="267" t="s">
        <v>125</v>
      </c>
      <c r="H76" s="268"/>
      <c r="I76" s="268"/>
      <c r="J76" s="269"/>
      <c r="K76" s="65" t="s">
        <v>34</v>
      </c>
      <c r="L76" s="60"/>
      <c r="M76" s="60" t="s">
        <v>36</v>
      </c>
      <c r="N76" s="61" t="s">
        <v>34</v>
      </c>
      <c r="O76" s="82"/>
      <c r="P76" s="148"/>
      <c r="Q76" s="57"/>
      <c r="R76" s="67"/>
      <c r="S76" s="68"/>
      <c r="T76" s="140"/>
      <c r="U76" s="57"/>
      <c r="V76" s="139"/>
      <c r="W76" s="70"/>
    </row>
    <row r="77" spans="2:24" ht="24.95" customHeight="1" thickBot="1">
      <c r="B77" s="56">
        <f t="shared" si="0"/>
        <v>66</v>
      </c>
      <c r="C77" s="293"/>
      <c r="D77" s="53">
        <v>0</v>
      </c>
      <c r="E77" s="58" t="s">
        <v>34</v>
      </c>
      <c r="F77" s="65" t="s">
        <v>34</v>
      </c>
      <c r="G77" s="267" t="s">
        <v>126</v>
      </c>
      <c r="H77" s="268"/>
      <c r="I77" s="268"/>
      <c r="J77" s="269"/>
      <c r="K77" s="65" t="s">
        <v>34</v>
      </c>
      <c r="L77" s="60"/>
      <c r="M77" s="60" t="s">
        <v>36</v>
      </c>
      <c r="N77" s="61" t="s">
        <v>34</v>
      </c>
      <c r="O77" s="82"/>
      <c r="P77" s="148"/>
      <c r="Q77" s="57"/>
      <c r="R77" s="67"/>
      <c r="S77" s="68"/>
      <c r="T77" s="140"/>
      <c r="U77" s="57"/>
      <c r="V77" s="139"/>
      <c r="W77" s="70"/>
    </row>
    <row r="78" spans="2:24" ht="24.95" customHeight="1" thickBot="1">
      <c r="B78" s="56">
        <f t="shared" ref="B78:B142" si="1">IF(G78="","",1+B77)</f>
        <v>67</v>
      </c>
      <c r="C78" s="293"/>
      <c r="D78" s="53">
        <v>0</v>
      </c>
      <c r="E78" s="58" t="s">
        <v>34</v>
      </c>
      <c r="F78" s="65" t="s">
        <v>34</v>
      </c>
      <c r="G78" s="267" t="s">
        <v>127</v>
      </c>
      <c r="H78" s="268"/>
      <c r="I78" s="268"/>
      <c r="J78" s="269"/>
      <c r="K78" s="65" t="s">
        <v>34</v>
      </c>
      <c r="L78" s="60"/>
      <c r="M78" s="60" t="s">
        <v>36</v>
      </c>
      <c r="N78" s="61" t="s">
        <v>34</v>
      </c>
      <c r="O78" s="82"/>
      <c r="P78" s="148"/>
      <c r="Q78" s="57"/>
      <c r="R78" s="67"/>
      <c r="S78" s="68"/>
      <c r="T78" s="140"/>
      <c r="U78" s="57"/>
      <c r="V78" s="139"/>
      <c r="W78" s="70"/>
    </row>
    <row r="79" spans="2:24" ht="24.95" customHeight="1" thickBot="1">
      <c r="B79" s="56">
        <f t="shared" si="1"/>
        <v>68</v>
      </c>
      <c r="C79" s="293"/>
      <c r="D79" s="53">
        <v>0</v>
      </c>
      <c r="E79" s="58" t="s">
        <v>34</v>
      </c>
      <c r="F79" s="65" t="s">
        <v>34</v>
      </c>
      <c r="G79" s="267" t="s">
        <v>128</v>
      </c>
      <c r="H79" s="268"/>
      <c r="I79" s="268"/>
      <c r="J79" s="269"/>
      <c r="K79" s="65" t="s">
        <v>34</v>
      </c>
      <c r="L79" s="60"/>
      <c r="M79" s="60" t="s">
        <v>36</v>
      </c>
      <c r="N79" s="61" t="s">
        <v>34</v>
      </c>
      <c r="O79" s="82"/>
      <c r="P79" s="148"/>
      <c r="Q79" s="57"/>
      <c r="R79" s="69"/>
      <c r="S79" s="68"/>
      <c r="T79" s="140"/>
      <c r="U79" s="57"/>
      <c r="V79" s="139"/>
      <c r="W79" s="70"/>
    </row>
    <row r="80" spans="2:24" ht="24.95" customHeight="1" thickBot="1">
      <c r="B80" s="56">
        <f t="shared" si="1"/>
        <v>69</v>
      </c>
      <c r="C80" s="293"/>
      <c r="D80" s="53">
        <v>0</v>
      </c>
      <c r="E80" s="58" t="s">
        <v>34</v>
      </c>
      <c r="F80" s="65" t="s">
        <v>34</v>
      </c>
      <c r="G80" s="267" t="s">
        <v>128</v>
      </c>
      <c r="H80" s="268"/>
      <c r="I80" s="268"/>
      <c r="J80" s="269"/>
      <c r="K80" s="65" t="s">
        <v>34</v>
      </c>
      <c r="L80" s="60"/>
      <c r="M80" s="60" t="s">
        <v>36</v>
      </c>
      <c r="N80" s="61" t="s">
        <v>34</v>
      </c>
      <c r="O80" s="82"/>
      <c r="P80" s="148"/>
      <c r="Q80" s="57"/>
      <c r="R80" s="67"/>
      <c r="S80" s="68"/>
      <c r="T80" s="140"/>
      <c r="U80" s="57"/>
      <c r="V80" s="139"/>
      <c r="W80" s="70"/>
    </row>
    <row r="81" spans="2:23" ht="24.95" customHeight="1" thickBot="1">
      <c r="B81" s="56">
        <f t="shared" si="1"/>
        <v>70</v>
      </c>
      <c r="C81" s="293"/>
      <c r="D81" s="53">
        <v>0</v>
      </c>
      <c r="E81" s="58" t="s">
        <v>34</v>
      </c>
      <c r="F81" s="65" t="s">
        <v>34</v>
      </c>
      <c r="G81" s="267" t="s">
        <v>129</v>
      </c>
      <c r="H81" s="268"/>
      <c r="I81" s="268"/>
      <c r="J81" s="269"/>
      <c r="K81" s="65" t="s">
        <v>34</v>
      </c>
      <c r="L81" s="60"/>
      <c r="M81" s="60" t="s">
        <v>36</v>
      </c>
      <c r="N81" s="61" t="s">
        <v>34</v>
      </c>
      <c r="O81" s="82"/>
      <c r="P81" s="148"/>
      <c r="Q81" s="57"/>
      <c r="R81" s="67"/>
      <c r="S81" s="68"/>
      <c r="T81" s="140"/>
      <c r="U81" s="57"/>
      <c r="V81" s="139"/>
      <c r="W81" s="70"/>
    </row>
    <row r="82" spans="2:23" ht="24.95" customHeight="1" thickBot="1">
      <c r="B82" s="56">
        <f t="shared" si="1"/>
        <v>71</v>
      </c>
      <c r="C82" s="293"/>
      <c r="D82" s="53">
        <v>0</v>
      </c>
      <c r="E82" s="58" t="s">
        <v>34</v>
      </c>
      <c r="F82" s="65" t="s">
        <v>34</v>
      </c>
      <c r="G82" s="267" t="s">
        <v>129</v>
      </c>
      <c r="H82" s="268"/>
      <c r="I82" s="268"/>
      <c r="J82" s="269"/>
      <c r="K82" s="65" t="s">
        <v>34</v>
      </c>
      <c r="L82" s="60"/>
      <c r="M82" s="60" t="s">
        <v>36</v>
      </c>
      <c r="N82" s="61" t="s">
        <v>34</v>
      </c>
      <c r="O82" s="82"/>
      <c r="P82" s="148"/>
      <c r="Q82" s="57"/>
      <c r="R82" s="67"/>
      <c r="S82" s="68"/>
      <c r="T82" s="140"/>
      <c r="U82" s="57"/>
      <c r="V82" s="139"/>
      <c r="W82" s="70"/>
    </row>
    <row r="83" spans="2:23" ht="24.95" customHeight="1" thickBot="1">
      <c r="B83" s="56">
        <f t="shared" si="1"/>
        <v>72</v>
      </c>
      <c r="C83" s="293"/>
      <c r="D83" s="53">
        <v>0</v>
      </c>
      <c r="E83" s="58" t="s">
        <v>34</v>
      </c>
      <c r="F83" s="65" t="s">
        <v>34</v>
      </c>
      <c r="G83" s="267" t="s">
        <v>130</v>
      </c>
      <c r="H83" s="268"/>
      <c r="I83" s="268"/>
      <c r="J83" s="269"/>
      <c r="K83" s="65" t="s">
        <v>34</v>
      </c>
      <c r="L83" s="60"/>
      <c r="M83" s="60" t="s">
        <v>36</v>
      </c>
      <c r="N83" s="61" t="s">
        <v>34</v>
      </c>
      <c r="O83" s="82"/>
      <c r="P83" s="148"/>
      <c r="Q83" s="57"/>
      <c r="R83" s="67"/>
      <c r="S83" s="68"/>
      <c r="T83" s="140"/>
      <c r="U83" s="57"/>
      <c r="V83" s="139"/>
      <c r="W83" s="70"/>
    </row>
    <row r="84" spans="2:23" ht="24.95" customHeight="1" thickBot="1">
      <c r="B84" s="56">
        <f t="shared" si="1"/>
        <v>73</v>
      </c>
      <c r="C84" s="293"/>
      <c r="D84" s="53">
        <v>0</v>
      </c>
      <c r="E84" s="58" t="s">
        <v>34</v>
      </c>
      <c r="F84" s="65" t="s">
        <v>34</v>
      </c>
      <c r="G84" s="267" t="s">
        <v>131</v>
      </c>
      <c r="H84" s="268"/>
      <c r="I84" s="268"/>
      <c r="J84" s="269"/>
      <c r="K84" s="65" t="s">
        <v>34</v>
      </c>
      <c r="L84" s="60"/>
      <c r="M84" s="60" t="s">
        <v>36</v>
      </c>
      <c r="N84" s="61" t="s">
        <v>34</v>
      </c>
      <c r="O84" s="82"/>
      <c r="P84" s="148"/>
      <c r="Q84" s="57"/>
      <c r="R84" s="67"/>
      <c r="S84" s="68"/>
      <c r="T84" s="140"/>
      <c r="U84" s="57"/>
      <c r="V84" s="139"/>
      <c r="W84" s="70"/>
    </row>
    <row r="85" spans="2:23" ht="24.95" customHeight="1" thickBot="1">
      <c r="B85" s="56">
        <f t="shared" si="1"/>
        <v>74</v>
      </c>
      <c r="C85" s="293"/>
      <c r="D85" s="53">
        <v>0</v>
      </c>
      <c r="E85" s="58" t="s">
        <v>34</v>
      </c>
      <c r="F85" s="65" t="s">
        <v>34</v>
      </c>
      <c r="G85" s="267" t="s">
        <v>131</v>
      </c>
      <c r="H85" s="268"/>
      <c r="I85" s="268"/>
      <c r="J85" s="269"/>
      <c r="K85" s="65" t="s">
        <v>34</v>
      </c>
      <c r="L85" s="60"/>
      <c r="M85" s="60" t="s">
        <v>36</v>
      </c>
      <c r="N85" s="61" t="s">
        <v>34</v>
      </c>
      <c r="O85" s="82"/>
      <c r="P85" s="148"/>
      <c r="Q85" s="57"/>
      <c r="R85" s="67"/>
      <c r="S85" s="68"/>
      <c r="T85" s="140"/>
      <c r="U85" s="57"/>
      <c r="V85" s="139"/>
      <c r="W85" s="70"/>
    </row>
    <row r="86" spans="2:23" ht="24.95" customHeight="1" thickBot="1">
      <c r="B86" s="56">
        <f t="shared" si="1"/>
        <v>75</v>
      </c>
      <c r="C86" s="293"/>
      <c r="D86" s="53">
        <v>0</v>
      </c>
      <c r="E86" s="58">
        <v>495014</v>
      </c>
      <c r="F86" s="65" t="s">
        <v>34</v>
      </c>
      <c r="G86" s="267" t="s">
        <v>132</v>
      </c>
      <c r="H86" s="268"/>
      <c r="I86" s="268"/>
      <c r="J86" s="269"/>
      <c r="K86" s="65" t="s">
        <v>34</v>
      </c>
      <c r="L86" s="60"/>
      <c r="M86" s="60" t="s">
        <v>36</v>
      </c>
      <c r="N86" s="61" t="s">
        <v>34</v>
      </c>
      <c r="O86" s="82"/>
      <c r="P86" s="148"/>
      <c r="Q86" s="57"/>
      <c r="R86" s="69"/>
      <c r="S86" s="68"/>
      <c r="T86" s="140"/>
      <c r="U86" s="57"/>
      <c r="V86" s="139"/>
      <c r="W86" s="70"/>
    </row>
    <row r="87" spans="2:23" ht="24.95" customHeight="1" thickBot="1">
      <c r="B87" s="56">
        <f t="shared" si="1"/>
        <v>76</v>
      </c>
      <c r="C87" s="293"/>
      <c r="D87" s="53">
        <v>0</v>
      </c>
      <c r="E87" s="58">
        <v>495015</v>
      </c>
      <c r="F87" s="65" t="s">
        <v>34</v>
      </c>
      <c r="G87" s="267" t="s">
        <v>133</v>
      </c>
      <c r="H87" s="268"/>
      <c r="I87" s="268"/>
      <c r="J87" s="269"/>
      <c r="K87" s="65" t="s">
        <v>34</v>
      </c>
      <c r="L87" s="60"/>
      <c r="M87" s="60" t="s">
        <v>36</v>
      </c>
      <c r="N87" s="61" t="s">
        <v>34</v>
      </c>
      <c r="O87" s="82"/>
      <c r="P87" s="148"/>
      <c r="Q87" s="57"/>
      <c r="R87" s="69"/>
      <c r="S87" s="68"/>
      <c r="T87" s="140"/>
      <c r="U87" s="57"/>
      <c r="V87" s="139"/>
      <c r="W87" s="70"/>
    </row>
    <row r="88" spans="2:23" ht="24.95" customHeight="1" thickBot="1">
      <c r="B88" s="87">
        <f t="shared" si="1"/>
        <v>77</v>
      </c>
      <c r="C88" s="293"/>
      <c r="D88" s="53">
        <v>1</v>
      </c>
      <c r="E88" s="58">
        <v>495011</v>
      </c>
      <c r="F88" s="65" t="s">
        <v>134</v>
      </c>
      <c r="G88" s="326" t="s">
        <v>135</v>
      </c>
      <c r="H88" s="327"/>
      <c r="I88" s="327"/>
      <c r="J88" s="328"/>
      <c r="K88" s="65" t="s">
        <v>54</v>
      </c>
      <c r="L88" s="60"/>
      <c r="M88" s="60" t="s">
        <v>36</v>
      </c>
      <c r="N88" s="61" t="s">
        <v>34</v>
      </c>
      <c r="O88" s="82"/>
      <c r="P88" s="148"/>
      <c r="Q88" s="62">
        <v>326245622</v>
      </c>
      <c r="R88" s="67">
        <v>46032</v>
      </c>
      <c r="S88" s="68"/>
      <c r="T88" s="140"/>
      <c r="U88" s="57" t="s">
        <v>41</v>
      </c>
      <c r="V88" s="139" t="s">
        <v>3</v>
      </c>
      <c r="W88" s="70"/>
    </row>
    <row r="89" spans="2:23" ht="24.95" customHeight="1" thickBot="1">
      <c r="B89" s="52">
        <f t="shared" si="1"/>
        <v>78</v>
      </c>
      <c r="C89" s="292" t="s">
        <v>136</v>
      </c>
      <c r="D89" s="53">
        <v>0</v>
      </c>
      <c r="E89" s="101" t="s">
        <v>34</v>
      </c>
      <c r="F89" s="65" t="s">
        <v>34</v>
      </c>
      <c r="G89" s="305" t="s">
        <v>137</v>
      </c>
      <c r="H89" s="306"/>
      <c r="I89" s="306"/>
      <c r="J89" s="307"/>
      <c r="K89" s="65" t="s">
        <v>34</v>
      </c>
      <c r="L89" s="60"/>
      <c r="M89" s="60" t="s">
        <v>36</v>
      </c>
      <c r="N89" s="55" t="s">
        <v>34</v>
      </c>
      <c r="O89" s="82"/>
      <c r="P89" s="148"/>
      <c r="Q89" s="57"/>
      <c r="R89" s="105"/>
      <c r="S89" s="90"/>
      <c r="T89" s="145"/>
      <c r="U89" s="57"/>
      <c r="V89" s="139"/>
      <c r="W89" s="70"/>
    </row>
    <row r="90" spans="2:23" ht="24.95" customHeight="1" thickBot="1">
      <c r="B90" s="56">
        <f t="shared" si="1"/>
        <v>79</v>
      </c>
      <c r="C90" s="293"/>
      <c r="D90" s="53">
        <v>0</v>
      </c>
      <c r="E90" s="58" t="s">
        <v>34</v>
      </c>
      <c r="F90" s="65" t="s">
        <v>34</v>
      </c>
      <c r="G90" s="267" t="s">
        <v>137</v>
      </c>
      <c r="H90" s="268"/>
      <c r="I90" s="268"/>
      <c r="J90" s="269"/>
      <c r="K90" s="65" t="s">
        <v>34</v>
      </c>
      <c r="L90" s="60"/>
      <c r="M90" s="60" t="s">
        <v>36</v>
      </c>
      <c r="N90" s="61" t="s">
        <v>34</v>
      </c>
      <c r="O90" s="82"/>
      <c r="P90" s="148"/>
      <c r="Q90" s="57"/>
      <c r="R90" s="67"/>
      <c r="S90" s="68"/>
      <c r="T90" s="140"/>
      <c r="U90" s="57"/>
      <c r="V90" s="139"/>
      <c r="W90" s="70"/>
    </row>
    <row r="91" spans="2:23" ht="24.95" customHeight="1" thickBot="1">
      <c r="B91" s="56">
        <f t="shared" si="1"/>
        <v>80</v>
      </c>
      <c r="C91" s="293"/>
      <c r="D91" s="53">
        <v>0</v>
      </c>
      <c r="E91" s="58" t="s">
        <v>34</v>
      </c>
      <c r="F91" s="65" t="s">
        <v>34</v>
      </c>
      <c r="G91" s="267" t="s">
        <v>137</v>
      </c>
      <c r="H91" s="268"/>
      <c r="I91" s="268"/>
      <c r="J91" s="269"/>
      <c r="K91" s="65" t="s">
        <v>34</v>
      </c>
      <c r="L91" s="60"/>
      <c r="M91" s="60" t="s">
        <v>36</v>
      </c>
      <c r="N91" s="61" t="s">
        <v>34</v>
      </c>
      <c r="O91" s="82"/>
      <c r="P91" s="148"/>
      <c r="Q91" s="57"/>
      <c r="R91" s="67"/>
      <c r="S91" s="68"/>
      <c r="T91" s="140"/>
      <c r="U91" s="57"/>
      <c r="V91" s="139"/>
      <c r="W91" s="70"/>
    </row>
    <row r="92" spans="2:23" ht="24.95" customHeight="1" thickBot="1">
      <c r="B92" s="71">
        <f t="shared" si="1"/>
        <v>81</v>
      </c>
      <c r="C92" s="294"/>
      <c r="D92" s="53">
        <v>0</v>
      </c>
      <c r="E92" s="73" t="s">
        <v>34</v>
      </c>
      <c r="F92" s="65" t="s">
        <v>34</v>
      </c>
      <c r="G92" s="317" t="s">
        <v>137</v>
      </c>
      <c r="H92" s="318"/>
      <c r="I92" s="318"/>
      <c r="J92" s="319"/>
      <c r="K92" s="65" t="s">
        <v>34</v>
      </c>
      <c r="L92" s="60"/>
      <c r="M92" s="60" t="s">
        <v>36</v>
      </c>
      <c r="N92" s="75" t="s">
        <v>34</v>
      </c>
      <c r="O92" s="82"/>
      <c r="P92" s="148"/>
      <c r="Q92" s="57"/>
      <c r="R92" s="102"/>
      <c r="S92" s="72"/>
      <c r="T92" s="141"/>
      <c r="U92" s="57"/>
      <c r="V92" s="139"/>
      <c r="W92" s="70"/>
    </row>
    <row r="93" spans="2:23" ht="24.95" customHeight="1" thickBot="1">
      <c r="B93" s="52">
        <f t="shared" si="1"/>
        <v>82</v>
      </c>
      <c r="C93" s="295" t="s">
        <v>138</v>
      </c>
      <c r="D93" s="53">
        <v>0</v>
      </c>
      <c r="E93" s="101">
        <v>495028</v>
      </c>
      <c r="F93" s="65" t="s">
        <v>34</v>
      </c>
      <c r="G93" s="305" t="s">
        <v>139</v>
      </c>
      <c r="H93" s="306"/>
      <c r="I93" s="306"/>
      <c r="J93" s="307"/>
      <c r="K93" s="65" t="s">
        <v>34</v>
      </c>
      <c r="L93" s="60"/>
      <c r="M93" s="60" t="s">
        <v>36</v>
      </c>
      <c r="N93" s="55" t="s">
        <v>34</v>
      </c>
      <c r="O93" s="82"/>
      <c r="P93" s="148"/>
      <c r="Q93" s="53"/>
      <c r="R93" s="92"/>
      <c r="S93" s="90"/>
      <c r="T93" s="145"/>
      <c r="U93" s="57"/>
      <c r="V93" s="139"/>
      <c r="W93" s="93"/>
    </row>
    <row r="94" spans="2:23" ht="24.95" customHeight="1" thickBot="1">
      <c r="B94" s="56">
        <f t="shared" si="1"/>
        <v>83</v>
      </c>
      <c r="C94" s="296"/>
      <c r="D94" s="53">
        <v>0</v>
      </c>
      <c r="E94" s="58">
        <v>495029</v>
      </c>
      <c r="F94" s="65" t="s">
        <v>34</v>
      </c>
      <c r="G94" s="267" t="s">
        <v>140</v>
      </c>
      <c r="H94" s="268"/>
      <c r="I94" s="268"/>
      <c r="J94" s="269"/>
      <c r="K94" s="65" t="s">
        <v>34</v>
      </c>
      <c r="L94" s="60"/>
      <c r="M94" s="60" t="s">
        <v>36</v>
      </c>
      <c r="N94" s="61" t="s">
        <v>34</v>
      </c>
      <c r="O94" s="82"/>
      <c r="P94" s="148"/>
      <c r="Q94" s="57"/>
      <c r="R94" s="69"/>
      <c r="S94" s="68"/>
      <c r="T94" s="140"/>
      <c r="U94" s="57"/>
      <c r="V94" s="139"/>
      <c r="W94" s="70"/>
    </row>
    <row r="95" spans="2:23" ht="24.95" customHeight="1" thickBot="1">
      <c r="B95" s="56">
        <f t="shared" si="1"/>
        <v>84</v>
      </c>
      <c r="C95" s="296"/>
      <c r="D95" s="53">
        <v>0</v>
      </c>
      <c r="E95" s="58">
        <v>495030</v>
      </c>
      <c r="F95" s="65" t="s">
        <v>34</v>
      </c>
      <c r="G95" s="267" t="s">
        <v>141</v>
      </c>
      <c r="H95" s="268"/>
      <c r="I95" s="268"/>
      <c r="J95" s="269"/>
      <c r="K95" s="65" t="s">
        <v>34</v>
      </c>
      <c r="L95" s="60"/>
      <c r="M95" s="60" t="s">
        <v>36</v>
      </c>
      <c r="N95" s="61" t="s">
        <v>34</v>
      </c>
      <c r="O95" s="82"/>
      <c r="P95" s="148"/>
      <c r="Q95" s="57"/>
      <c r="R95" s="69"/>
      <c r="S95" s="68"/>
      <c r="T95" s="140"/>
      <c r="U95" s="57"/>
      <c r="V95" s="139"/>
      <c r="W95" s="70"/>
    </row>
    <row r="96" spans="2:23" ht="24.95" customHeight="1" thickBot="1">
      <c r="B96" s="56">
        <f t="shared" si="1"/>
        <v>85</v>
      </c>
      <c r="C96" s="297"/>
      <c r="D96" s="53">
        <v>0</v>
      </c>
      <c r="E96" s="63">
        <v>495021</v>
      </c>
      <c r="F96" s="65" t="s">
        <v>34</v>
      </c>
      <c r="G96" s="267" t="s">
        <v>142</v>
      </c>
      <c r="H96" s="268"/>
      <c r="I96" s="268"/>
      <c r="J96" s="268"/>
      <c r="K96" s="65" t="s">
        <v>34</v>
      </c>
      <c r="L96" s="60"/>
      <c r="M96" s="60" t="s">
        <v>36</v>
      </c>
      <c r="N96" s="61" t="s">
        <v>34</v>
      </c>
      <c r="O96" s="82"/>
      <c r="P96" s="148"/>
      <c r="Q96" s="60"/>
      <c r="R96" s="60"/>
      <c r="S96" s="57"/>
      <c r="T96" s="139"/>
      <c r="U96" s="57"/>
      <c r="V96" s="139"/>
      <c r="W96" s="60"/>
    </row>
    <row r="97" spans="2:23" ht="24.95" customHeight="1" thickBot="1">
      <c r="B97" s="71">
        <f t="shared" si="1"/>
        <v>86</v>
      </c>
      <c r="C97" s="298"/>
      <c r="D97" s="53"/>
      <c r="E97" s="106">
        <v>496815</v>
      </c>
      <c r="F97" s="65" t="s">
        <v>34</v>
      </c>
      <c r="G97" s="302" t="s">
        <v>143</v>
      </c>
      <c r="H97" s="303"/>
      <c r="I97" s="303"/>
      <c r="J97" s="304"/>
      <c r="K97" s="65" t="s">
        <v>34</v>
      </c>
      <c r="L97" s="60"/>
      <c r="M97" s="60" t="s">
        <v>36</v>
      </c>
      <c r="N97" s="99" t="s">
        <v>34</v>
      </c>
      <c r="O97" s="82"/>
      <c r="P97" s="148"/>
      <c r="Q97" s="96"/>
      <c r="R97" s="98"/>
      <c r="S97" s="96"/>
      <c r="T97" s="144"/>
      <c r="U97" s="57"/>
      <c r="V97" s="139"/>
      <c r="W97" s="100"/>
    </row>
    <row r="98" spans="2:23" ht="24.95" customHeight="1" thickBot="1">
      <c r="B98" s="52">
        <f t="shared" si="1"/>
        <v>87</v>
      </c>
      <c r="C98" s="292" t="s">
        <v>144</v>
      </c>
      <c r="D98" s="53">
        <v>0</v>
      </c>
      <c r="E98" s="101">
        <v>495018</v>
      </c>
      <c r="F98" s="65" t="s">
        <v>34</v>
      </c>
      <c r="G98" s="305" t="s">
        <v>145</v>
      </c>
      <c r="H98" s="306"/>
      <c r="I98" s="306"/>
      <c r="J98" s="307"/>
      <c r="K98" s="65" t="s">
        <v>34</v>
      </c>
      <c r="L98" s="60"/>
      <c r="M98" s="60" t="s">
        <v>36</v>
      </c>
      <c r="N98" s="55" t="s">
        <v>34</v>
      </c>
      <c r="O98" s="82"/>
      <c r="P98" s="148"/>
      <c r="Q98" s="53"/>
      <c r="R98" s="92"/>
      <c r="S98" s="90"/>
      <c r="T98" s="145"/>
      <c r="U98" s="57"/>
      <c r="V98" s="139"/>
      <c r="W98" s="93"/>
    </row>
    <row r="99" spans="2:23" ht="24.95" customHeight="1" thickBot="1">
      <c r="B99" s="56">
        <f t="shared" si="1"/>
        <v>88</v>
      </c>
      <c r="C99" s="293"/>
      <c r="D99" s="53">
        <v>0</v>
      </c>
      <c r="E99" s="58">
        <v>495019</v>
      </c>
      <c r="F99" s="65" t="s">
        <v>34</v>
      </c>
      <c r="G99" s="267" t="s">
        <v>146</v>
      </c>
      <c r="H99" s="268"/>
      <c r="I99" s="268"/>
      <c r="J99" s="269"/>
      <c r="K99" s="65" t="s">
        <v>34</v>
      </c>
      <c r="L99" s="60"/>
      <c r="M99" s="60" t="s">
        <v>36</v>
      </c>
      <c r="N99" s="61" t="s">
        <v>34</v>
      </c>
      <c r="O99" s="82"/>
      <c r="P99" s="148"/>
      <c r="Q99" s="57"/>
      <c r="R99" s="69"/>
      <c r="S99" s="68"/>
      <c r="T99" s="140"/>
      <c r="U99" s="57"/>
      <c r="V99" s="139"/>
      <c r="W99" s="70"/>
    </row>
    <row r="100" spans="2:23" ht="15.75">
      <c r="B100" s="56">
        <f t="shared" si="1"/>
        <v>89</v>
      </c>
      <c r="C100" s="293"/>
      <c r="D100" s="53">
        <v>89</v>
      </c>
      <c r="E100" s="58">
        <v>495025</v>
      </c>
      <c r="F100" s="65" t="s">
        <v>147</v>
      </c>
      <c r="G100" s="267" t="s">
        <v>148</v>
      </c>
      <c r="H100" s="268"/>
      <c r="I100" s="268"/>
      <c r="J100" s="269"/>
      <c r="K100" s="65" t="s">
        <v>54</v>
      </c>
      <c r="L100" s="60"/>
      <c r="M100" s="60" t="s">
        <v>36</v>
      </c>
      <c r="N100" s="61" t="s">
        <v>34</v>
      </c>
      <c r="O100" s="82"/>
      <c r="P100" s="148"/>
      <c r="Q100" s="62">
        <v>326245683</v>
      </c>
      <c r="R100" s="67">
        <v>46032</v>
      </c>
      <c r="S100" s="68"/>
      <c r="T100" s="140"/>
      <c r="U100" s="57" t="s">
        <v>41</v>
      </c>
      <c r="V100" s="139" t="s">
        <v>3</v>
      </c>
      <c r="W100" s="107"/>
    </row>
    <row r="101" spans="2:23" ht="24.95" customHeight="1" thickBot="1">
      <c r="B101" s="56">
        <f t="shared" si="1"/>
        <v>90</v>
      </c>
      <c r="C101" s="293"/>
      <c r="D101" s="53">
        <v>0</v>
      </c>
      <c r="E101" s="58">
        <v>495026</v>
      </c>
      <c r="F101" s="65" t="s">
        <v>34</v>
      </c>
      <c r="G101" s="267" t="s">
        <v>149</v>
      </c>
      <c r="H101" s="268"/>
      <c r="I101" s="268"/>
      <c r="J101" s="269"/>
      <c r="K101" s="65" t="s">
        <v>34</v>
      </c>
      <c r="L101" s="60"/>
      <c r="M101" s="60" t="s">
        <v>36</v>
      </c>
      <c r="N101" s="61" t="s">
        <v>34</v>
      </c>
      <c r="O101" s="82"/>
      <c r="P101" s="148"/>
      <c r="Q101" s="57"/>
      <c r="R101" s="69"/>
      <c r="S101" s="68"/>
      <c r="T101" s="140"/>
      <c r="U101" s="57"/>
      <c r="V101" s="139"/>
      <c r="W101" s="70"/>
    </row>
    <row r="102" spans="2:23" ht="24.95" customHeight="1" thickBot="1">
      <c r="B102" s="56">
        <f t="shared" si="1"/>
        <v>91</v>
      </c>
      <c r="C102" s="293"/>
      <c r="D102" s="53">
        <v>1</v>
      </c>
      <c r="E102" s="58">
        <v>495047</v>
      </c>
      <c r="F102" s="174" t="s">
        <v>150</v>
      </c>
      <c r="G102" s="270" t="s">
        <v>151</v>
      </c>
      <c r="H102" s="271"/>
      <c r="I102" s="271"/>
      <c r="J102" s="272"/>
      <c r="K102" s="65" t="s">
        <v>54</v>
      </c>
      <c r="L102" s="60"/>
      <c r="M102" s="60" t="s">
        <v>36</v>
      </c>
      <c r="N102" s="61" t="s">
        <v>34</v>
      </c>
      <c r="O102" s="82"/>
      <c r="P102" s="148"/>
      <c r="Q102" s="62">
        <v>326245683</v>
      </c>
      <c r="R102" s="160">
        <v>46032</v>
      </c>
      <c r="S102" s="68"/>
      <c r="T102" s="140"/>
      <c r="U102" s="57" t="s">
        <v>41</v>
      </c>
      <c r="V102" s="139" t="s">
        <v>3</v>
      </c>
      <c r="W102" s="70"/>
    </row>
    <row r="103" spans="2:23" ht="16.5" thickBot="1">
      <c r="B103" s="71">
        <f t="shared" si="1"/>
        <v>92</v>
      </c>
      <c r="C103" s="294"/>
      <c r="D103" s="53">
        <v>1</v>
      </c>
      <c r="E103" s="73">
        <v>495048</v>
      </c>
      <c r="F103" s="65" t="s">
        <v>34</v>
      </c>
      <c r="G103" s="317" t="s">
        <v>152</v>
      </c>
      <c r="H103" s="318"/>
      <c r="I103" s="318"/>
      <c r="J103" s="319"/>
      <c r="K103" s="65" t="s">
        <v>34</v>
      </c>
      <c r="L103" s="60"/>
      <c r="M103" s="60" t="s">
        <v>36</v>
      </c>
      <c r="N103" s="75" t="s">
        <v>34</v>
      </c>
      <c r="O103" s="82"/>
      <c r="P103" s="148"/>
      <c r="Q103" s="62"/>
      <c r="R103" s="67"/>
      <c r="S103" s="72"/>
      <c r="T103" s="141"/>
      <c r="U103" s="57"/>
      <c r="V103" s="139"/>
      <c r="W103" s="107"/>
    </row>
    <row r="104" spans="2:23" ht="24.95" customHeight="1" thickBot="1">
      <c r="B104" s="52">
        <f t="shared" si="1"/>
        <v>93</v>
      </c>
      <c r="C104" s="292" t="s">
        <v>153</v>
      </c>
      <c r="D104" s="53">
        <v>0</v>
      </c>
      <c r="E104" s="101">
        <v>495044</v>
      </c>
      <c r="F104" s="65" t="s">
        <v>34</v>
      </c>
      <c r="G104" s="305" t="s">
        <v>154</v>
      </c>
      <c r="H104" s="306"/>
      <c r="I104" s="306"/>
      <c r="J104" s="307"/>
      <c r="K104" s="65" t="s">
        <v>34</v>
      </c>
      <c r="L104" s="60"/>
      <c r="M104" s="60" t="s">
        <v>36</v>
      </c>
      <c r="N104" s="55" t="s">
        <v>34</v>
      </c>
      <c r="O104" s="82"/>
      <c r="P104" s="148"/>
      <c r="Q104" s="53"/>
      <c r="R104" s="92"/>
      <c r="S104" s="90"/>
      <c r="T104" s="145"/>
      <c r="U104" s="57"/>
      <c r="V104" s="139"/>
      <c r="W104" s="93"/>
    </row>
    <row r="105" spans="2:23" ht="24.95" customHeight="1" thickBot="1">
      <c r="B105" s="56">
        <f t="shared" si="1"/>
        <v>94</v>
      </c>
      <c r="C105" s="293"/>
      <c r="D105" s="53">
        <v>0</v>
      </c>
      <c r="E105" s="58">
        <v>495045</v>
      </c>
      <c r="F105" s="65" t="s">
        <v>34</v>
      </c>
      <c r="G105" s="267" t="s">
        <v>155</v>
      </c>
      <c r="H105" s="268"/>
      <c r="I105" s="268"/>
      <c r="J105" s="269"/>
      <c r="K105" s="65" t="s">
        <v>34</v>
      </c>
      <c r="L105" s="60"/>
      <c r="M105" s="60" t="s">
        <v>36</v>
      </c>
      <c r="N105" s="61" t="s">
        <v>34</v>
      </c>
      <c r="O105" s="82"/>
      <c r="P105" s="148"/>
      <c r="Q105" s="57"/>
      <c r="R105" s="69"/>
      <c r="S105" s="68"/>
      <c r="T105" s="140"/>
      <c r="U105" s="57"/>
      <c r="V105" s="139"/>
      <c r="W105" s="70"/>
    </row>
    <row r="106" spans="2:23" ht="24.95" customHeight="1" thickBot="1">
      <c r="B106" s="56">
        <f t="shared" si="1"/>
        <v>95</v>
      </c>
      <c r="C106" s="293"/>
      <c r="D106" s="53">
        <v>0</v>
      </c>
      <c r="E106" s="58">
        <v>495046</v>
      </c>
      <c r="F106" s="65" t="s">
        <v>34</v>
      </c>
      <c r="G106" s="267" t="s">
        <v>156</v>
      </c>
      <c r="H106" s="268"/>
      <c r="I106" s="268"/>
      <c r="J106" s="269"/>
      <c r="K106" s="65" t="s">
        <v>34</v>
      </c>
      <c r="L106" s="60"/>
      <c r="M106" s="60" t="s">
        <v>36</v>
      </c>
      <c r="N106" s="61" t="s">
        <v>34</v>
      </c>
      <c r="O106" s="82"/>
      <c r="P106" s="148"/>
      <c r="Q106" s="57"/>
      <c r="R106" s="69"/>
      <c r="S106" s="68"/>
      <c r="T106" s="140"/>
      <c r="U106" s="57"/>
      <c r="V106" s="139"/>
      <c r="W106" s="70"/>
    </row>
    <row r="107" spans="2:23" ht="24.95" customHeight="1" thickBot="1">
      <c r="B107" s="56">
        <f t="shared" si="1"/>
        <v>96</v>
      </c>
      <c r="C107" s="293"/>
      <c r="D107" s="53">
        <v>1</v>
      </c>
      <c r="E107" s="58">
        <v>497339</v>
      </c>
      <c r="F107" s="65" t="s">
        <v>157</v>
      </c>
      <c r="G107" s="267" t="s">
        <v>158</v>
      </c>
      <c r="H107" s="268"/>
      <c r="I107" s="268"/>
      <c r="J107" s="269"/>
      <c r="K107" s="65" t="s">
        <v>40</v>
      </c>
      <c r="L107" s="60"/>
      <c r="M107" s="60" t="s">
        <v>36</v>
      </c>
      <c r="N107" s="61" t="s">
        <v>34</v>
      </c>
      <c r="O107" s="82"/>
      <c r="P107" s="148"/>
      <c r="Q107" s="62">
        <v>326245912</v>
      </c>
      <c r="R107" s="67">
        <v>46032</v>
      </c>
      <c r="S107" s="68"/>
      <c r="T107" s="140"/>
      <c r="U107" s="57" t="s">
        <v>41</v>
      </c>
      <c r="V107" s="139" t="s">
        <v>3</v>
      </c>
      <c r="W107" s="70"/>
    </row>
    <row r="108" spans="2:23" ht="24.95" customHeight="1" thickBot="1">
      <c r="B108" s="56">
        <f t="shared" si="1"/>
        <v>97</v>
      </c>
      <c r="C108" s="293"/>
      <c r="D108" s="53">
        <v>1</v>
      </c>
      <c r="E108" s="58">
        <v>497340</v>
      </c>
      <c r="F108" s="65" t="s">
        <v>159</v>
      </c>
      <c r="G108" s="267" t="s">
        <v>160</v>
      </c>
      <c r="H108" s="268"/>
      <c r="I108" s="268"/>
      <c r="J108" s="269"/>
      <c r="K108" s="65" t="s">
        <v>40</v>
      </c>
      <c r="L108" s="60"/>
      <c r="M108" s="60" t="s">
        <v>36</v>
      </c>
      <c r="N108" s="61" t="s">
        <v>34</v>
      </c>
      <c r="O108" s="82"/>
      <c r="P108" s="148"/>
      <c r="Q108" s="62">
        <v>326245912</v>
      </c>
      <c r="R108" s="67">
        <v>46032</v>
      </c>
      <c r="S108" s="68"/>
      <c r="T108" s="140"/>
      <c r="U108" s="57" t="s">
        <v>41</v>
      </c>
      <c r="V108" s="139" t="s">
        <v>3</v>
      </c>
      <c r="W108" s="70"/>
    </row>
    <row r="109" spans="2:23" ht="24.95" customHeight="1" thickBot="1">
      <c r="B109" s="56">
        <f t="shared" si="1"/>
        <v>98</v>
      </c>
      <c r="C109" s="293"/>
      <c r="D109" s="53">
        <v>2</v>
      </c>
      <c r="E109" s="58">
        <v>497341</v>
      </c>
      <c r="F109" s="65" t="s">
        <v>161</v>
      </c>
      <c r="G109" s="267" t="s">
        <v>162</v>
      </c>
      <c r="H109" s="268"/>
      <c r="I109" s="268"/>
      <c r="J109" s="269"/>
      <c r="K109" s="65" t="s">
        <v>40</v>
      </c>
      <c r="L109" s="60"/>
      <c r="M109" s="60" t="s">
        <v>36</v>
      </c>
      <c r="N109" s="61" t="s">
        <v>34</v>
      </c>
      <c r="O109" s="82"/>
      <c r="P109" s="148"/>
      <c r="Q109" s="62">
        <v>326245912</v>
      </c>
      <c r="R109" s="67">
        <v>46032</v>
      </c>
      <c r="S109" s="68"/>
      <c r="T109" s="140"/>
      <c r="U109" s="57" t="s">
        <v>41</v>
      </c>
      <c r="V109" s="139" t="s">
        <v>3</v>
      </c>
      <c r="W109" s="70"/>
    </row>
    <row r="110" spans="2:23" ht="24.95" customHeight="1" thickBot="1">
      <c r="B110" s="71">
        <f t="shared" si="1"/>
        <v>99</v>
      </c>
      <c r="C110" s="294"/>
      <c r="D110" s="53">
        <v>1</v>
      </c>
      <c r="E110" s="73">
        <v>497345</v>
      </c>
      <c r="F110" s="65" t="s">
        <v>163</v>
      </c>
      <c r="G110" s="317" t="s">
        <v>164</v>
      </c>
      <c r="H110" s="318"/>
      <c r="I110" s="318"/>
      <c r="J110" s="319"/>
      <c r="K110" s="65" t="s">
        <v>40</v>
      </c>
      <c r="L110" s="60"/>
      <c r="M110" s="60" t="s">
        <v>36</v>
      </c>
      <c r="N110" s="75" t="s">
        <v>34</v>
      </c>
      <c r="O110" s="82"/>
      <c r="P110" s="148"/>
      <c r="Q110" s="119">
        <v>326245912</v>
      </c>
      <c r="R110" s="102">
        <v>46032</v>
      </c>
      <c r="S110" s="72"/>
      <c r="T110" s="141"/>
      <c r="U110" s="57" t="s">
        <v>41</v>
      </c>
      <c r="V110" s="139" t="s">
        <v>3</v>
      </c>
      <c r="W110" s="70"/>
    </row>
    <row r="111" spans="2:23" ht="24.95" customHeight="1" thickBot="1">
      <c r="B111" s="76">
        <f t="shared" si="1"/>
        <v>100</v>
      </c>
      <c r="C111" s="293" t="s">
        <v>165</v>
      </c>
      <c r="D111" s="53">
        <v>0</v>
      </c>
      <c r="E111" s="78">
        <v>495049</v>
      </c>
      <c r="F111" s="65" t="s">
        <v>34</v>
      </c>
      <c r="G111" s="320" t="s">
        <v>166</v>
      </c>
      <c r="H111" s="321"/>
      <c r="I111" s="321"/>
      <c r="J111" s="322"/>
      <c r="K111" s="65" t="s">
        <v>34</v>
      </c>
      <c r="L111" s="60"/>
      <c r="M111" s="60" t="s">
        <v>36</v>
      </c>
      <c r="N111" s="80" t="s">
        <v>34</v>
      </c>
      <c r="O111" s="82"/>
      <c r="P111" s="148"/>
      <c r="Q111" s="77"/>
      <c r="R111" s="104"/>
      <c r="S111" s="84"/>
      <c r="T111" s="145"/>
      <c r="U111" s="57"/>
      <c r="V111" s="139"/>
      <c r="W111" s="70"/>
    </row>
    <row r="112" spans="2:23" ht="24.95" customHeight="1" thickBot="1">
      <c r="B112" s="56">
        <f t="shared" si="1"/>
        <v>101</v>
      </c>
      <c r="C112" s="293"/>
      <c r="D112" s="53">
        <v>0</v>
      </c>
      <c r="E112" s="63">
        <v>495050</v>
      </c>
      <c r="F112" s="65" t="s">
        <v>34</v>
      </c>
      <c r="G112" s="270" t="s">
        <v>167</v>
      </c>
      <c r="H112" s="271"/>
      <c r="I112" s="271"/>
      <c r="J112" s="272"/>
      <c r="K112" s="65" t="s">
        <v>34</v>
      </c>
      <c r="L112" s="60"/>
      <c r="M112" s="60" t="s">
        <v>36</v>
      </c>
      <c r="N112" s="61" t="e">
        <f>'Controle de Eslingas'!#REF!</f>
        <v>#REF!</v>
      </c>
      <c r="O112" s="82"/>
      <c r="P112" s="148"/>
      <c r="Q112" s="57"/>
      <c r="R112" s="60"/>
      <c r="S112" s="57"/>
      <c r="T112" s="139"/>
      <c r="U112" s="57"/>
      <c r="V112" s="139"/>
      <c r="W112" s="148"/>
    </row>
    <row r="113" spans="2:23" ht="24.95" customHeight="1" thickBot="1">
      <c r="B113" s="56">
        <f t="shared" si="1"/>
        <v>102</v>
      </c>
      <c r="C113" s="293"/>
      <c r="D113" s="53">
        <v>0</v>
      </c>
      <c r="E113" s="78">
        <v>495051</v>
      </c>
      <c r="F113" s="65" t="s">
        <v>34</v>
      </c>
      <c r="G113" s="270" t="s">
        <v>168</v>
      </c>
      <c r="H113" s="271"/>
      <c r="I113" s="271"/>
      <c r="J113" s="272"/>
      <c r="K113" s="65" t="s">
        <v>34</v>
      </c>
      <c r="L113" s="60"/>
      <c r="M113" s="60" t="s">
        <v>36</v>
      </c>
      <c r="N113" s="80" t="e">
        <f>'Controle de Eslingas'!#REF!</f>
        <v>#REF!</v>
      </c>
      <c r="O113" s="82"/>
      <c r="P113" s="148"/>
      <c r="Q113" s="77"/>
      <c r="R113" s="85"/>
      <c r="S113" s="84"/>
      <c r="T113" s="139"/>
      <c r="U113" s="57"/>
      <c r="V113" s="139"/>
      <c r="W113" s="70"/>
    </row>
    <row r="114" spans="2:23" ht="24.95" customHeight="1" thickBot="1">
      <c r="B114" s="56">
        <f t="shared" si="1"/>
        <v>103</v>
      </c>
      <c r="C114" s="293"/>
      <c r="D114" s="53">
        <v>0</v>
      </c>
      <c r="E114" s="58">
        <v>495052</v>
      </c>
      <c r="F114" s="65" t="s">
        <v>169</v>
      </c>
      <c r="G114" s="267" t="s">
        <v>170</v>
      </c>
      <c r="H114" s="268"/>
      <c r="I114" s="268"/>
      <c r="J114" s="269"/>
      <c r="K114" s="65" t="s">
        <v>34</v>
      </c>
      <c r="L114" s="60"/>
      <c r="M114" s="60" t="s">
        <v>36</v>
      </c>
      <c r="N114" s="61" t="s">
        <v>34</v>
      </c>
      <c r="O114" s="82"/>
      <c r="P114" s="148"/>
      <c r="Q114" s="57"/>
      <c r="R114" s="69"/>
      <c r="S114" s="68"/>
      <c r="T114" s="143"/>
      <c r="U114" s="57"/>
      <c r="V114" s="139"/>
      <c r="W114" s="70"/>
    </row>
    <row r="115" spans="2:23" ht="24.95" customHeight="1" thickBot="1">
      <c r="B115" s="56">
        <f t="shared" si="1"/>
        <v>104</v>
      </c>
      <c r="C115" s="293"/>
      <c r="D115" s="53">
        <v>0</v>
      </c>
      <c r="E115" s="58">
        <v>495053</v>
      </c>
      <c r="F115" s="65" t="s">
        <v>34</v>
      </c>
      <c r="G115" s="270" t="s">
        <v>171</v>
      </c>
      <c r="H115" s="271"/>
      <c r="I115" s="271"/>
      <c r="J115" s="272"/>
      <c r="K115" s="65" t="s">
        <v>34</v>
      </c>
      <c r="L115" s="60"/>
      <c r="M115" s="60" t="s">
        <v>36</v>
      </c>
      <c r="N115" s="61" t="e">
        <f>'Controle de Eslingas'!#REF!</f>
        <v>#REF!</v>
      </c>
      <c r="O115" s="82"/>
      <c r="P115" s="148"/>
      <c r="Q115" s="57"/>
      <c r="R115" s="69"/>
      <c r="S115" s="68"/>
      <c r="T115" s="140"/>
      <c r="U115" s="57"/>
      <c r="V115" s="139"/>
      <c r="W115" s="70"/>
    </row>
    <row r="116" spans="2:23" ht="24.95" customHeight="1" thickBot="1">
      <c r="B116" s="56">
        <f t="shared" si="1"/>
        <v>105</v>
      </c>
      <c r="C116" s="293"/>
      <c r="D116" s="53">
        <v>0</v>
      </c>
      <c r="E116" s="58">
        <v>495054</v>
      </c>
      <c r="F116" s="65" t="s">
        <v>34</v>
      </c>
      <c r="G116" s="267" t="s">
        <v>172</v>
      </c>
      <c r="H116" s="268"/>
      <c r="I116" s="268"/>
      <c r="J116" s="269"/>
      <c r="K116" s="65" t="s">
        <v>34</v>
      </c>
      <c r="L116" s="60"/>
      <c r="M116" s="60" t="s">
        <v>36</v>
      </c>
      <c r="N116" s="61" t="s">
        <v>34</v>
      </c>
      <c r="O116" s="82"/>
      <c r="P116" s="148"/>
      <c r="Q116" s="62"/>
      <c r="R116" s="67"/>
      <c r="S116" s="68"/>
      <c r="T116" s="140"/>
      <c r="U116" s="57"/>
      <c r="V116" s="139"/>
      <c r="W116" s="70"/>
    </row>
    <row r="117" spans="2:23" ht="24.95" customHeight="1" thickBot="1">
      <c r="B117" s="56">
        <f t="shared" si="1"/>
        <v>106</v>
      </c>
      <c r="C117" s="293"/>
      <c r="D117" s="53">
        <v>0</v>
      </c>
      <c r="E117" s="58">
        <v>495055</v>
      </c>
      <c r="F117" s="65" t="s">
        <v>34</v>
      </c>
      <c r="G117" s="270" t="s">
        <v>173</v>
      </c>
      <c r="H117" s="271"/>
      <c r="I117" s="271"/>
      <c r="J117" s="272"/>
      <c r="K117" s="65" t="s">
        <v>34</v>
      </c>
      <c r="L117" s="60"/>
      <c r="M117" s="60" t="s">
        <v>36</v>
      </c>
      <c r="N117" s="61" t="e">
        <f>'Controle de Eslingas'!#REF!</f>
        <v>#REF!</v>
      </c>
      <c r="O117" s="82"/>
      <c r="P117" s="148"/>
      <c r="Q117" s="57"/>
      <c r="R117" s="69"/>
      <c r="S117" s="68"/>
      <c r="T117" s="140"/>
      <c r="U117" s="57"/>
      <c r="V117" s="139"/>
      <c r="W117" s="70"/>
    </row>
    <row r="118" spans="2:23" ht="24.95" customHeight="1" thickBot="1">
      <c r="B118" s="56">
        <f t="shared" si="1"/>
        <v>107</v>
      </c>
      <c r="C118" s="293"/>
      <c r="D118" s="53">
        <v>1</v>
      </c>
      <c r="E118" s="58">
        <v>495056</v>
      </c>
      <c r="F118" s="65" t="s">
        <v>174</v>
      </c>
      <c r="G118" s="267" t="s">
        <v>175</v>
      </c>
      <c r="H118" s="268"/>
      <c r="I118" s="268"/>
      <c r="J118" s="269"/>
      <c r="K118" s="65" t="s">
        <v>40</v>
      </c>
      <c r="L118" s="60"/>
      <c r="M118" s="60" t="s">
        <v>36</v>
      </c>
      <c r="N118" s="61" t="s">
        <v>34</v>
      </c>
      <c r="O118" s="82"/>
      <c r="P118" s="148"/>
      <c r="Q118" s="62">
        <v>326245755</v>
      </c>
      <c r="R118" s="67">
        <v>46032</v>
      </c>
      <c r="S118" s="68"/>
      <c r="T118" s="140"/>
      <c r="U118" s="57" t="s">
        <v>41</v>
      </c>
      <c r="V118" s="139" t="s">
        <v>3</v>
      </c>
      <c r="W118" s="70"/>
    </row>
    <row r="119" spans="2:23" ht="24.95" customHeight="1" thickBot="1">
      <c r="B119" s="56">
        <f t="shared" si="1"/>
        <v>108</v>
      </c>
      <c r="C119" s="293"/>
      <c r="D119" s="53">
        <v>1</v>
      </c>
      <c r="E119" s="58" t="s">
        <v>34</v>
      </c>
      <c r="F119" s="65">
        <v>20347</v>
      </c>
      <c r="G119" s="267" t="s">
        <v>176</v>
      </c>
      <c r="H119" s="268"/>
      <c r="I119" s="268"/>
      <c r="J119" s="269"/>
      <c r="K119" s="65" t="s">
        <v>40</v>
      </c>
      <c r="L119" s="60"/>
      <c r="M119" s="60" t="s">
        <v>36</v>
      </c>
      <c r="N119" s="61" t="s">
        <v>34</v>
      </c>
      <c r="O119" s="82"/>
      <c r="P119" s="148"/>
      <c r="Q119" s="62">
        <v>326245755</v>
      </c>
      <c r="R119" s="67">
        <v>46032</v>
      </c>
      <c r="S119" s="68"/>
      <c r="T119" s="140"/>
      <c r="U119" s="57" t="s">
        <v>41</v>
      </c>
      <c r="V119" s="139" t="s">
        <v>3</v>
      </c>
      <c r="W119" s="70"/>
    </row>
    <row r="120" spans="2:23" ht="16.5" thickBot="1">
      <c r="B120" s="56">
        <f t="shared" si="1"/>
        <v>109</v>
      </c>
      <c r="C120" s="293"/>
      <c r="D120" s="53">
        <v>1</v>
      </c>
      <c r="E120" s="58" t="s">
        <v>34</v>
      </c>
      <c r="F120" s="65" t="s">
        <v>177</v>
      </c>
      <c r="G120" s="267" t="s">
        <v>178</v>
      </c>
      <c r="H120" s="268"/>
      <c r="I120" s="268"/>
      <c r="J120" s="269"/>
      <c r="K120" s="65" t="s">
        <v>40</v>
      </c>
      <c r="L120" s="60"/>
      <c r="M120" s="60" t="s">
        <v>36</v>
      </c>
      <c r="N120" s="61" t="s">
        <v>34</v>
      </c>
      <c r="O120" s="82"/>
      <c r="P120" s="148"/>
      <c r="Q120" s="119">
        <v>326245755</v>
      </c>
      <c r="R120" s="67">
        <v>46032</v>
      </c>
      <c r="S120" s="68"/>
      <c r="T120" s="140"/>
      <c r="U120" s="57" t="s">
        <v>41</v>
      </c>
      <c r="V120" s="139" t="s">
        <v>3</v>
      </c>
      <c r="W120" s="70"/>
    </row>
    <row r="121" spans="2:23" ht="24.95" customHeight="1" thickBot="1">
      <c r="B121" s="56">
        <f t="shared" si="1"/>
        <v>110</v>
      </c>
      <c r="C121" s="293"/>
      <c r="D121" s="53">
        <v>0</v>
      </c>
      <c r="E121" s="58">
        <v>495057</v>
      </c>
      <c r="F121" s="65" t="s">
        <v>179</v>
      </c>
      <c r="G121" s="270" t="s">
        <v>180</v>
      </c>
      <c r="H121" s="271"/>
      <c r="I121" s="271"/>
      <c r="J121" s="272"/>
      <c r="K121" s="65" t="s">
        <v>34</v>
      </c>
      <c r="L121" s="60"/>
      <c r="M121" s="60" t="s">
        <v>36</v>
      </c>
      <c r="N121" s="61" t="s">
        <v>34</v>
      </c>
      <c r="O121" s="82"/>
      <c r="P121" s="148"/>
      <c r="Q121" s="62">
        <v>326245755</v>
      </c>
      <c r="R121" s="67">
        <v>46032</v>
      </c>
      <c r="S121" s="68"/>
      <c r="T121" s="140"/>
      <c r="U121" s="57"/>
      <c r="V121" s="139"/>
      <c r="W121" s="70"/>
    </row>
    <row r="122" spans="2:23" ht="24.95" customHeight="1" thickBot="1">
      <c r="B122" s="56">
        <f t="shared" si="1"/>
        <v>111</v>
      </c>
      <c r="C122" s="293"/>
      <c r="D122" s="53">
        <v>0</v>
      </c>
      <c r="E122" s="58">
        <v>495058</v>
      </c>
      <c r="F122" s="65" t="s">
        <v>34</v>
      </c>
      <c r="G122" s="267" t="s">
        <v>181</v>
      </c>
      <c r="H122" s="268"/>
      <c r="I122" s="268"/>
      <c r="J122" s="269"/>
      <c r="K122" s="65" t="s">
        <v>34</v>
      </c>
      <c r="L122" s="60"/>
      <c r="M122" s="60" t="s">
        <v>36</v>
      </c>
      <c r="N122" s="61" t="s">
        <v>34</v>
      </c>
      <c r="O122" s="82"/>
      <c r="P122" s="148"/>
      <c r="Q122" s="62"/>
      <c r="R122" s="67"/>
      <c r="S122" s="68"/>
      <c r="T122" s="140"/>
      <c r="U122" s="57"/>
      <c r="V122" s="139"/>
      <c r="W122" s="70"/>
    </row>
    <row r="123" spans="2:23" ht="24.95" customHeight="1" thickBot="1">
      <c r="B123" s="56">
        <f t="shared" si="1"/>
        <v>112</v>
      </c>
      <c r="C123" s="293"/>
      <c r="D123" s="53">
        <v>0</v>
      </c>
      <c r="E123" s="58">
        <v>495059</v>
      </c>
      <c r="F123" s="65" t="s">
        <v>34</v>
      </c>
      <c r="G123" s="267" t="s">
        <v>182</v>
      </c>
      <c r="H123" s="268"/>
      <c r="I123" s="268"/>
      <c r="J123" s="269"/>
      <c r="K123" s="65" t="s">
        <v>34</v>
      </c>
      <c r="L123" s="60"/>
      <c r="M123" s="60" t="s">
        <v>36</v>
      </c>
      <c r="N123" s="61" t="s">
        <v>34</v>
      </c>
      <c r="O123" s="82"/>
      <c r="P123" s="148"/>
      <c r="Q123" s="57"/>
      <c r="R123" s="69"/>
      <c r="S123" s="68"/>
      <c r="T123" s="140"/>
      <c r="U123" s="57"/>
      <c r="V123" s="139"/>
      <c r="W123" s="70"/>
    </row>
    <row r="124" spans="2:23" ht="24.95" customHeight="1" thickBot="1">
      <c r="B124" s="56">
        <f t="shared" si="1"/>
        <v>113</v>
      </c>
      <c r="C124" s="293"/>
      <c r="D124" s="53">
        <v>0</v>
      </c>
      <c r="E124" s="58" t="s">
        <v>34</v>
      </c>
      <c r="F124" s="65" t="s">
        <v>34</v>
      </c>
      <c r="G124" s="267" t="s">
        <v>183</v>
      </c>
      <c r="H124" s="268"/>
      <c r="I124" s="268"/>
      <c r="J124" s="269"/>
      <c r="K124" s="65" t="s">
        <v>34</v>
      </c>
      <c r="L124" s="60"/>
      <c r="M124" s="60" t="s">
        <v>36</v>
      </c>
      <c r="N124" s="61" t="s">
        <v>34</v>
      </c>
      <c r="O124" s="82"/>
      <c r="P124" s="148"/>
      <c r="Q124" s="57"/>
      <c r="R124" s="69"/>
      <c r="S124" s="68"/>
      <c r="T124" s="140"/>
      <c r="U124" s="57"/>
      <c r="V124" s="139"/>
      <c r="W124" s="70"/>
    </row>
    <row r="125" spans="2:23" ht="24.95" customHeight="1" thickBot="1">
      <c r="B125" s="56">
        <f t="shared" si="1"/>
        <v>114</v>
      </c>
      <c r="C125" s="293"/>
      <c r="D125" s="53">
        <v>0</v>
      </c>
      <c r="E125" s="58">
        <v>495060</v>
      </c>
      <c r="F125" s="65" t="s">
        <v>34</v>
      </c>
      <c r="G125" s="270" t="s">
        <v>184</v>
      </c>
      <c r="H125" s="271"/>
      <c r="I125" s="271"/>
      <c r="J125" s="272"/>
      <c r="K125" s="65" t="s">
        <v>34</v>
      </c>
      <c r="L125" s="60"/>
      <c r="M125" s="60" t="s">
        <v>36</v>
      </c>
      <c r="N125" s="61" t="e">
        <f>'Controle de Eslingas'!#REF!</f>
        <v>#REF!</v>
      </c>
      <c r="O125" s="82"/>
      <c r="P125" s="148"/>
      <c r="Q125" s="62"/>
      <c r="R125" s="67"/>
      <c r="S125" s="68"/>
      <c r="T125" s="140"/>
      <c r="U125" s="57"/>
      <c r="V125" s="139"/>
      <c r="W125" s="70"/>
    </row>
    <row r="126" spans="2:23" ht="24.95" customHeight="1" thickBot="1">
      <c r="B126" s="56">
        <f t="shared" si="1"/>
        <v>115</v>
      </c>
      <c r="C126" s="293"/>
      <c r="D126" s="53">
        <v>0</v>
      </c>
      <c r="E126" s="58">
        <v>495061</v>
      </c>
      <c r="F126" s="65" t="s">
        <v>34</v>
      </c>
      <c r="G126" s="267" t="s">
        <v>185</v>
      </c>
      <c r="H126" s="268"/>
      <c r="I126" s="268"/>
      <c r="J126" s="269"/>
      <c r="K126" s="65" t="s">
        <v>34</v>
      </c>
      <c r="L126" s="60"/>
      <c r="M126" s="60" t="s">
        <v>36</v>
      </c>
      <c r="N126" s="61" t="s">
        <v>34</v>
      </c>
      <c r="O126" s="82"/>
      <c r="P126" s="148"/>
      <c r="Q126" s="62"/>
      <c r="R126" s="67"/>
      <c r="S126" s="68"/>
      <c r="T126" s="140"/>
      <c r="U126" s="57"/>
      <c r="V126" s="139"/>
      <c r="W126" s="70"/>
    </row>
    <row r="127" spans="2:23" ht="24.95" customHeight="1" thickBot="1">
      <c r="B127" s="56">
        <f t="shared" si="1"/>
        <v>116</v>
      </c>
      <c r="C127" s="293"/>
      <c r="D127" s="53">
        <v>0</v>
      </c>
      <c r="E127" s="58" t="s">
        <v>34</v>
      </c>
      <c r="F127" s="65" t="s">
        <v>34</v>
      </c>
      <c r="G127" s="267" t="s">
        <v>186</v>
      </c>
      <c r="H127" s="268"/>
      <c r="I127" s="268"/>
      <c r="J127" s="269"/>
      <c r="K127" s="65" t="s">
        <v>34</v>
      </c>
      <c r="L127" s="60"/>
      <c r="M127" s="60" t="s">
        <v>36</v>
      </c>
      <c r="N127" s="61" t="s">
        <v>34</v>
      </c>
      <c r="O127" s="82"/>
      <c r="P127" s="148"/>
      <c r="Q127" s="57"/>
      <c r="R127" s="69"/>
      <c r="S127" s="68"/>
      <c r="T127" s="140"/>
      <c r="U127" s="57"/>
      <c r="V127" s="139"/>
      <c r="W127" s="70"/>
    </row>
    <row r="128" spans="2:23" ht="24.95" customHeight="1" thickBot="1">
      <c r="B128" s="56">
        <f t="shared" si="1"/>
        <v>117</v>
      </c>
      <c r="C128" s="293"/>
      <c r="D128" s="53">
        <v>0</v>
      </c>
      <c r="E128" s="58">
        <v>495065</v>
      </c>
      <c r="F128" s="65" t="s">
        <v>34</v>
      </c>
      <c r="G128" s="267" t="s">
        <v>187</v>
      </c>
      <c r="H128" s="268"/>
      <c r="I128" s="268"/>
      <c r="J128" s="269"/>
      <c r="K128" s="65" t="s">
        <v>34</v>
      </c>
      <c r="L128" s="60"/>
      <c r="M128" s="60" t="s">
        <v>36</v>
      </c>
      <c r="N128" s="61" t="s">
        <v>34</v>
      </c>
      <c r="O128" s="82"/>
      <c r="P128" s="148"/>
      <c r="Q128" s="62"/>
      <c r="R128" s="67"/>
      <c r="S128" s="68"/>
      <c r="T128" s="140"/>
      <c r="U128" s="57"/>
      <c r="V128" s="139"/>
      <c r="W128" s="70"/>
    </row>
    <row r="129" spans="2:23" ht="24.95" customHeight="1" thickBot="1">
      <c r="B129" s="56">
        <f t="shared" si="1"/>
        <v>118</v>
      </c>
      <c r="C129" s="293"/>
      <c r="D129" s="53">
        <v>0</v>
      </c>
      <c r="E129" s="58">
        <v>495062</v>
      </c>
      <c r="F129" s="65" t="s">
        <v>34</v>
      </c>
      <c r="G129" s="267" t="s">
        <v>188</v>
      </c>
      <c r="H129" s="268"/>
      <c r="I129" s="268"/>
      <c r="J129" s="269"/>
      <c r="K129" s="65" t="s">
        <v>34</v>
      </c>
      <c r="L129" s="60"/>
      <c r="M129" s="60" t="s">
        <v>36</v>
      </c>
      <c r="N129" s="61" t="s">
        <v>34</v>
      </c>
      <c r="O129" s="82"/>
      <c r="P129" s="148"/>
      <c r="Q129" s="57"/>
      <c r="R129" s="69"/>
      <c r="S129" s="68"/>
      <c r="T129" s="140"/>
      <c r="U129" s="57"/>
      <c r="V129" s="139"/>
      <c r="W129" s="70"/>
    </row>
    <row r="130" spans="2:23" ht="24.95" customHeight="1" thickBot="1">
      <c r="B130" s="56">
        <f t="shared" si="1"/>
        <v>119</v>
      </c>
      <c r="C130" s="293"/>
      <c r="D130" s="53">
        <v>1</v>
      </c>
      <c r="E130" s="58">
        <v>495064</v>
      </c>
      <c r="F130" s="65" t="s">
        <v>189</v>
      </c>
      <c r="G130" s="267" t="s">
        <v>190</v>
      </c>
      <c r="H130" s="268"/>
      <c r="I130" s="268"/>
      <c r="J130" s="269"/>
      <c r="K130" s="65" t="s">
        <v>34</v>
      </c>
      <c r="L130" s="60"/>
      <c r="M130" s="60" t="s">
        <v>36</v>
      </c>
      <c r="N130" s="61" t="s">
        <v>34</v>
      </c>
      <c r="O130" s="82"/>
      <c r="P130" s="148"/>
      <c r="Q130" s="57"/>
      <c r="R130" s="69"/>
      <c r="S130" s="68"/>
      <c r="T130" s="140"/>
      <c r="U130" s="57"/>
      <c r="V130" s="139"/>
      <c r="W130" s="70"/>
    </row>
    <row r="131" spans="2:23" ht="24.95" customHeight="1" thickBot="1">
      <c r="B131" s="56">
        <f t="shared" si="1"/>
        <v>120</v>
      </c>
      <c r="C131" s="293"/>
      <c r="D131" s="53">
        <v>1</v>
      </c>
      <c r="E131" s="58">
        <v>495068</v>
      </c>
      <c r="F131" s="65" t="s">
        <v>191</v>
      </c>
      <c r="G131" s="267" t="s">
        <v>192</v>
      </c>
      <c r="H131" s="268"/>
      <c r="I131" s="268"/>
      <c r="J131" s="269"/>
      <c r="K131" s="65" t="s">
        <v>34</v>
      </c>
      <c r="L131" s="60"/>
      <c r="M131" s="60" t="s">
        <v>36</v>
      </c>
      <c r="N131" s="61" t="s">
        <v>34</v>
      </c>
      <c r="O131" s="82"/>
      <c r="P131" s="148"/>
      <c r="Q131" s="62"/>
      <c r="R131" s="67"/>
      <c r="S131" s="68"/>
      <c r="T131" s="140"/>
      <c r="U131" s="57"/>
      <c r="V131" s="139"/>
      <c r="W131" s="70"/>
    </row>
    <row r="132" spans="2:23" ht="24.95" customHeight="1" thickBot="1">
      <c r="B132" s="56">
        <f t="shared" si="1"/>
        <v>121</v>
      </c>
      <c r="C132" s="293"/>
      <c r="D132" s="53">
        <v>0</v>
      </c>
      <c r="E132" s="58">
        <v>495063</v>
      </c>
      <c r="F132" s="65" t="s">
        <v>34</v>
      </c>
      <c r="G132" s="270" t="s">
        <v>193</v>
      </c>
      <c r="H132" s="271"/>
      <c r="I132" s="271"/>
      <c r="J132" s="272"/>
      <c r="K132" s="65" t="s">
        <v>34</v>
      </c>
      <c r="L132" s="60"/>
      <c r="M132" s="60" t="s">
        <v>36</v>
      </c>
      <c r="N132" s="61" t="e">
        <f>'Controle de Eslingas'!#REF!</f>
        <v>#REF!</v>
      </c>
      <c r="O132" s="82"/>
      <c r="P132" s="148"/>
      <c r="Q132" s="57"/>
      <c r="R132" s="69"/>
      <c r="S132" s="68"/>
      <c r="T132" s="140"/>
      <c r="U132" s="57"/>
      <c r="V132" s="139"/>
      <c r="W132" s="70"/>
    </row>
    <row r="133" spans="2:23" ht="24.95" customHeight="1" thickBot="1">
      <c r="B133" s="56">
        <f t="shared" si="1"/>
        <v>122</v>
      </c>
      <c r="C133" s="293"/>
      <c r="D133" s="53">
        <v>0</v>
      </c>
      <c r="E133" s="58">
        <v>495066</v>
      </c>
      <c r="F133" s="65" t="s">
        <v>34</v>
      </c>
      <c r="G133" s="267" t="s">
        <v>194</v>
      </c>
      <c r="H133" s="268"/>
      <c r="I133" s="268"/>
      <c r="J133" s="269"/>
      <c r="K133" s="65" t="s">
        <v>34</v>
      </c>
      <c r="L133" s="60"/>
      <c r="M133" s="60" t="s">
        <v>36</v>
      </c>
      <c r="N133" s="61" t="s">
        <v>34</v>
      </c>
      <c r="O133" s="82"/>
      <c r="P133" s="148"/>
      <c r="Q133" s="57"/>
      <c r="R133" s="69"/>
      <c r="S133" s="68"/>
      <c r="T133" s="140"/>
      <c r="U133" s="57"/>
      <c r="V133" s="139"/>
      <c r="W133" s="70"/>
    </row>
    <row r="134" spans="2:23" ht="24.95" customHeight="1" thickBot="1">
      <c r="B134" s="71">
        <f>IF(G134="","",1+B133)</f>
        <v>123</v>
      </c>
      <c r="C134" s="294"/>
      <c r="D134" s="53">
        <v>0</v>
      </c>
      <c r="E134" s="73">
        <v>495067</v>
      </c>
      <c r="F134" s="65" t="s">
        <v>34</v>
      </c>
      <c r="G134" s="323" t="s">
        <v>195</v>
      </c>
      <c r="H134" s="324"/>
      <c r="I134" s="324"/>
      <c r="J134" s="325"/>
      <c r="K134" s="65" t="s">
        <v>34</v>
      </c>
      <c r="L134" s="60"/>
      <c r="M134" s="60" t="s">
        <v>36</v>
      </c>
      <c r="N134" s="75" t="e">
        <f>'Controle de Eslingas'!#REF!</f>
        <v>#REF!</v>
      </c>
      <c r="O134" s="82"/>
      <c r="P134" s="148"/>
      <c r="Q134" s="72"/>
      <c r="R134" s="74"/>
      <c r="S134" s="72"/>
      <c r="T134" s="141"/>
      <c r="U134" s="57"/>
      <c r="V134" s="139"/>
      <c r="W134" s="149"/>
    </row>
    <row r="135" spans="2:23" ht="24.95" customHeight="1" thickBot="1">
      <c r="B135" s="71">
        <v>124</v>
      </c>
      <c r="C135" s="137"/>
      <c r="D135" s="53">
        <v>1</v>
      </c>
      <c r="E135" s="88">
        <v>495062</v>
      </c>
      <c r="F135" s="65" t="s">
        <v>196</v>
      </c>
      <c r="G135" s="273" t="s">
        <v>197</v>
      </c>
      <c r="H135" s="274"/>
      <c r="I135" s="274"/>
      <c r="J135" s="275"/>
      <c r="K135" s="65" t="s">
        <v>34</v>
      </c>
      <c r="L135" s="60"/>
      <c r="M135" s="60" t="s">
        <v>36</v>
      </c>
      <c r="N135" s="99"/>
      <c r="O135" s="82"/>
      <c r="P135" s="148"/>
      <c r="Q135" s="96"/>
      <c r="R135" s="98"/>
      <c r="S135" s="96"/>
      <c r="T135" s="144"/>
      <c r="U135" s="57"/>
      <c r="V135" s="139"/>
      <c r="W135" s="70"/>
    </row>
    <row r="136" spans="2:23" ht="24.95" customHeight="1" thickBot="1">
      <c r="B136" s="71">
        <f t="shared" ref="B136" si="2">IF(G136="","",1+B135)</f>
        <v>125</v>
      </c>
      <c r="C136" s="109"/>
      <c r="D136" s="53">
        <v>1</v>
      </c>
      <c r="E136" s="110">
        <v>495624</v>
      </c>
      <c r="F136" s="65" t="s">
        <v>198</v>
      </c>
      <c r="G136" s="264" t="s">
        <v>199</v>
      </c>
      <c r="H136" s="265"/>
      <c r="I136" s="265"/>
      <c r="J136" s="266"/>
      <c r="K136" s="65" t="s">
        <v>34</v>
      </c>
      <c r="L136" s="69"/>
      <c r="M136" s="60" t="s">
        <v>36</v>
      </c>
      <c r="N136" s="57" t="s">
        <v>34</v>
      </c>
      <c r="O136" s="82"/>
      <c r="P136" s="148"/>
      <c r="Q136" s="281"/>
      <c r="R136" s="282"/>
      <c r="S136" s="111"/>
      <c r="T136" s="146"/>
      <c r="U136" s="57"/>
      <c r="V136" s="139"/>
      <c r="W136" s="152"/>
    </row>
    <row r="137" spans="2:23" ht="24.95" customHeight="1" thickBot="1">
      <c r="B137" s="52">
        <f t="shared" si="1"/>
        <v>126</v>
      </c>
      <c r="C137" s="299" t="s">
        <v>200</v>
      </c>
      <c r="D137" s="53">
        <v>3</v>
      </c>
      <c r="E137" s="88">
        <v>495069</v>
      </c>
      <c r="F137" s="184" t="s">
        <v>201</v>
      </c>
      <c r="G137" s="283" t="s">
        <v>202</v>
      </c>
      <c r="H137" s="284"/>
      <c r="I137" s="284"/>
      <c r="J137" s="285"/>
      <c r="K137" s="65" t="s">
        <v>34</v>
      </c>
      <c r="L137" s="60"/>
      <c r="M137" s="60" t="s">
        <v>36</v>
      </c>
      <c r="N137" s="57"/>
      <c r="O137" s="82"/>
      <c r="P137" s="148"/>
      <c r="Q137" s="57"/>
      <c r="R137" s="67"/>
      <c r="S137" s="68"/>
      <c r="T137" s="140"/>
      <c r="U137" s="57"/>
      <c r="V137" s="139"/>
      <c r="W137" s="107"/>
    </row>
    <row r="138" spans="2:23" ht="24.95" customHeight="1" thickBot="1">
      <c r="B138" s="56">
        <f t="shared" si="1"/>
        <v>127</v>
      </c>
      <c r="C138" s="300"/>
      <c r="D138" s="53">
        <v>0</v>
      </c>
      <c r="E138" s="59">
        <v>498413</v>
      </c>
      <c r="F138" s="65" t="s">
        <v>34</v>
      </c>
      <c r="G138" s="283" t="s">
        <v>34</v>
      </c>
      <c r="H138" s="284"/>
      <c r="I138" s="284"/>
      <c r="J138" s="285"/>
      <c r="K138" s="65" t="s">
        <v>34</v>
      </c>
      <c r="L138" s="60"/>
      <c r="M138" s="60" t="s">
        <v>36</v>
      </c>
      <c r="N138" s="57"/>
      <c r="O138" s="82"/>
      <c r="P138" s="148"/>
      <c r="Q138" s="57"/>
      <c r="R138" s="60"/>
      <c r="S138" s="57"/>
      <c r="T138" s="139"/>
      <c r="U138" s="57"/>
      <c r="V138" s="139"/>
      <c r="W138" s="117"/>
    </row>
    <row r="139" spans="2:23" ht="24.95" customHeight="1" thickBot="1">
      <c r="B139" s="56">
        <f t="shared" si="1"/>
        <v>128</v>
      </c>
      <c r="C139" s="300"/>
      <c r="D139" s="53">
        <v>1</v>
      </c>
      <c r="E139" s="108" t="s">
        <v>34</v>
      </c>
      <c r="F139" s="65" t="s">
        <v>203</v>
      </c>
      <c r="G139" s="283" t="s">
        <v>204</v>
      </c>
      <c r="H139" s="284"/>
      <c r="I139" s="284"/>
      <c r="J139" s="285"/>
      <c r="K139" s="65" t="s">
        <v>54</v>
      </c>
      <c r="L139" s="60"/>
      <c r="M139" s="60" t="s">
        <v>36</v>
      </c>
      <c r="N139" s="77"/>
      <c r="O139" s="82"/>
      <c r="P139" s="148"/>
      <c r="Q139" s="57">
        <v>326245682</v>
      </c>
      <c r="R139" s="104">
        <v>46032</v>
      </c>
      <c r="S139" s="84"/>
      <c r="T139" s="143"/>
      <c r="U139" s="57" t="s">
        <v>41</v>
      </c>
      <c r="V139" s="139" t="s">
        <v>3</v>
      </c>
      <c r="W139" s="118"/>
    </row>
    <row r="140" spans="2:23" ht="24.95" customHeight="1" thickBot="1">
      <c r="B140" s="56">
        <f t="shared" si="1"/>
        <v>129</v>
      </c>
      <c r="C140" s="300"/>
      <c r="D140" s="53">
        <v>1</v>
      </c>
      <c r="E140" s="88">
        <v>495010</v>
      </c>
      <c r="F140" s="65" t="s">
        <v>205</v>
      </c>
      <c r="G140" s="283" t="s">
        <v>206</v>
      </c>
      <c r="H140" s="284"/>
      <c r="I140" s="284"/>
      <c r="J140" s="285"/>
      <c r="K140" s="65" t="s">
        <v>54</v>
      </c>
      <c r="L140" s="60"/>
      <c r="M140" s="60" t="s">
        <v>36</v>
      </c>
      <c r="N140" s="57"/>
      <c r="O140" s="82"/>
      <c r="P140" s="148"/>
      <c r="Q140" s="57">
        <v>326246126</v>
      </c>
      <c r="R140" s="67">
        <v>46032</v>
      </c>
      <c r="S140" s="68"/>
      <c r="T140" s="140"/>
      <c r="U140" s="57"/>
      <c r="V140" s="139"/>
      <c r="W140" s="118"/>
    </row>
    <row r="141" spans="2:23" ht="24.95" customHeight="1" thickBot="1">
      <c r="B141" s="76">
        <f t="shared" si="1"/>
        <v>130</v>
      </c>
      <c r="C141" s="300"/>
      <c r="D141" s="207">
        <v>1</v>
      </c>
      <c r="E141" s="88">
        <v>495013</v>
      </c>
      <c r="F141" s="65" t="s">
        <v>207</v>
      </c>
      <c r="G141" s="283" t="s">
        <v>208</v>
      </c>
      <c r="H141" s="284"/>
      <c r="I141" s="284"/>
      <c r="J141" s="285"/>
      <c r="K141" s="65" t="s">
        <v>54</v>
      </c>
      <c r="L141" s="60"/>
      <c r="M141" s="60" t="s">
        <v>36</v>
      </c>
      <c r="N141" s="57"/>
      <c r="O141" s="82"/>
      <c r="P141" s="148"/>
      <c r="Q141" s="57">
        <v>326246126</v>
      </c>
      <c r="R141" s="67">
        <v>46032</v>
      </c>
      <c r="S141" s="68"/>
      <c r="T141" s="140"/>
      <c r="U141" s="57"/>
      <c r="V141" s="139"/>
      <c r="W141" s="118"/>
    </row>
    <row r="142" spans="2:23" ht="24.95" customHeight="1" thickBot="1">
      <c r="B142" s="56">
        <f t="shared" si="1"/>
        <v>131</v>
      </c>
      <c r="C142" s="300"/>
      <c r="D142" s="53">
        <v>1</v>
      </c>
      <c r="E142" s="88">
        <v>506277</v>
      </c>
      <c r="F142" s="65" t="s">
        <v>209</v>
      </c>
      <c r="G142" s="283" t="s">
        <v>210</v>
      </c>
      <c r="H142" s="284"/>
      <c r="I142" s="284"/>
      <c r="J142" s="285"/>
      <c r="K142" s="65" t="s">
        <v>54</v>
      </c>
      <c r="L142" s="74"/>
      <c r="M142" s="60" t="s">
        <v>36</v>
      </c>
      <c r="N142" s="72"/>
      <c r="O142" s="82"/>
      <c r="P142" s="148"/>
      <c r="Q142" s="72">
        <v>326246126</v>
      </c>
      <c r="R142" s="102">
        <v>46032</v>
      </c>
      <c r="S142" s="72"/>
      <c r="T142" s="141"/>
      <c r="U142" s="74"/>
      <c r="V142" s="74"/>
      <c r="W142" s="107"/>
    </row>
    <row r="143" spans="2:23" ht="24.95" customHeight="1" thickBot="1">
      <c r="B143" s="56">
        <f t="shared" ref="B143:B173" si="3">IF(G143="","",1+B142)</f>
        <v>132</v>
      </c>
      <c r="C143" s="300"/>
      <c r="D143" s="53">
        <v>2</v>
      </c>
      <c r="E143" s="88">
        <v>495024</v>
      </c>
      <c r="F143" s="65" t="s">
        <v>211</v>
      </c>
      <c r="G143" s="283" t="s">
        <v>212</v>
      </c>
      <c r="H143" s="284"/>
      <c r="I143" s="284"/>
      <c r="J143" s="285"/>
      <c r="K143" s="65" t="s">
        <v>54</v>
      </c>
      <c r="L143" s="60"/>
      <c r="M143" s="60" t="s">
        <v>36</v>
      </c>
      <c r="N143" s="57"/>
      <c r="O143" s="82"/>
      <c r="P143" s="148"/>
      <c r="Q143" s="62">
        <v>326246126</v>
      </c>
      <c r="R143" s="67">
        <v>46032</v>
      </c>
      <c r="S143" s="68"/>
      <c r="T143" s="140"/>
      <c r="U143" s="57"/>
      <c r="V143" s="139"/>
      <c r="W143" s="107" t="s">
        <v>213</v>
      </c>
    </row>
    <row r="144" spans="2:23" ht="15.75" customHeight="1" thickBot="1">
      <c r="B144" s="56">
        <f t="shared" si="3"/>
        <v>133</v>
      </c>
      <c r="C144" s="300"/>
      <c r="D144" s="53">
        <v>1</v>
      </c>
      <c r="E144" s="88">
        <v>495027</v>
      </c>
      <c r="F144" s="65" t="s">
        <v>214</v>
      </c>
      <c r="G144" s="283" t="s">
        <v>215</v>
      </c>
      <c r="H144" s="284"/>
      <c r="I144" s="284"/>
      <c r="J144" s="285"/>
      <c r="K144" s="65" t="s">
        <v>54</v>
      </c>
      <c r="L144" s="60"/>
      <c r="M144" s="60" t="s">
        <v>36</v>
      </c>
      <c r="N144" s="57"/>
      <c r="O144" s="82"/>
      <c r="P144" s="148"/>
      <c r="Q144" s="62">
        <v>326246126</v>
      </c>
      <c r="R144" s="67">
        <v>46032</v>
      </c>
      <c r="S144" s="68"/>
      <c r="T144" s="140"/>
      <c r="U144" s="57"/>
      <c r="V144" s="139"/>
      <c r="W144" s="107"/>
    </row>
    <row r="145" spans="2:23" ht="26.25" customHeight="1" thickBot="1">
      <c r="B145" s="56" t="e">
        <f>IF(#REF!="","",1+B144)</f>
        <v>#REF!</v>
      </c>
      <c r="C145" s="300"/>
      <c r="D145" s="53">
        <v>1</v>
      </c>
      <c r="E145" s="65" t="s">
        <v>34</v>
      </c>
      <c r="F145" s="172" t="s">
        <v>216</v>
      </c>
      <c r="G145" s="283" t="s">
        <v>217</v>
      </c>
      <c r="H145" s="284"/>
      <c r="I145" s="284"/>
      <c r="J145" s="285"/>
      <c r="K145" s="65" t="s">
        <v>54</v>
      </c>
      <c r="L145" s="60"/>
      <c r="M145" s="60" t="s">
        <v>36</v>
      </c>
      <c r="N145" s="57"/>
      <c r="O145" s="82"/>
      <c r="P145" s="148"/>
      <c r="Q145" s="103">
        <v>326246126</v>
      </c>
      <c r="R145" s="67">
        <v>46032</v>
      </c>
      <c r="S145" s="68"/>
      <c r="T145" s="140"/>
      <c r="U145" s="57"/>
      <c r="V145" s="139"/>
      <c r="W145" s="107"/>
    </row>
    <row r="146" spans="2:23" ht="26.25" customHeight="1" thickBot="1">
      <c r="B146" s="56" t="e">
        <f t="shared" si="3"/>
        <v>#REF!</v>
      </c>
      <c r="C146" s="300"/>
      <c r="D146" s="53">
        <v>1</v>
      </c>
      <c r="E146" s="65" t="s">
        <v>34</v>
      </c>
      <c r="F146" s="172" t="s">
        <v>218</v>
      </c>
      <c r="G146" s="273" t="s">
        <v>219</v>
      </c>
      <c r="H146" s="274"/>
      <c r="I146" s="274"/>
      <c r="J146" s="275"/>
      <c r="K146" s="65" t="s">
        <v>54</v>
      </c>
      <c r="L146" s="60"/>
      <c r="M146" s="60" t="s">
        <v>36</v>
      </c>
      <c r="N146" s="57"/>
      <c r="O146" s="82"/>
      <c r="P146" s="148"/>
      <c r="Q146" s="62">
        <v>326245758</v>
      </c>
      <c r="R146" s="67">
        <v>46032</v>
      </c>
      <c r="S146" s="68"/>
      <c r="T146" s="140"/>
      <c r="U146" s="57"/>
      <c r="V146" s="139"/>
      <c r="W146" s="107"/>
    </row>
    <row r="147" spans="2:23" ht="24.95" customHeight="1" thickBot="1">
      <c r="B147" s="56" t="e">
        <f t="shared" si="3"/>
        <v>#REF!</v>
      </c>
      <c r="C147" s="300"/>
      <c r="D147" s="53">
        <v>1</v>
      </c>
      <c r="E147" s="65">
        <v>496057</v>
      </c>
      <c r="F147" s="65" t="s">
        <v>34</v>
      </c>
      <c r="G147" s="273" t="s">
        <v>220</v>
      </c>
      <c r="H147" s="274"/>
      <c r="I147" s="274"/>
      <c r="J147" s="275"/>
      <c r="K147" s="65" t="s">
        <v>40</v>
      </c>
      <c r="L147" s="60"/>
      <c r="M147" s="60" t="s">
        <v>36</v>
      </c>
      <c r="N147" s="57"/>
      <c r="O147" s="82"/>
      <c r="P147" s="148"/>
      <c r="Q147" s="62"/>
      <c r="R147" s="67"/>
      <c r="S147" s="68"/>
      <c r="T147" s="140"/>
      <c r="U147" s="57"/>
      <c r="V147" s="139"/>
      <c r="W147" s="70"/>
    </row>
    <row r="148" spans="2:23" ht="24.95" customHeight="1" thickBot="1">
      <c r="B148" s="56" t="e">
        <f t="shared" si="3"/>
        <v>#REF!</v>
      </c>
      <c r="C148" s="300"/>
      <c r="D148" s="53">
        <v>1</v>
      </c>
      <c r="E148" s="88">
        <v>504920</v>
      </c>
      <c r="F148" s="65" t="s">
        <v>221</v>
      </c>
      <c r="G148" s="273" t="s">
        <v>222</v>
      </c>
      <c r="H148" s="274"/>
      <c r="I148" s="274"/>
      <c r="J148" s="275"/>
      <c r="K148" s="65" t="s">
        <v>34</v>
      </c>
      <c r="L148" s="60"/>
      <c r="M148" s="60" t="s">
        <v>36</v>
      </c>
      <c r="N148" s="57"/>
      <c r="O148" s="82"/>
      <c r="P148" s="148"/>
      <c r="Q148" s="62"/>
      <c r="R148" s="66"/>
      <c r="S148" s="68"/>
      <c r="T148" s="140"/>
      <c r="U148" s="57"/>
      <c r="V148" s="139"/>
      <c r="W148" s="107"/>
    </row>
    <row r="149" spans="2:23" ht="24.95" customHeight="1" thickBot="1">
      <c r="B149" s="56" t="e">
        <f t="shared" si="3"/>
        <v>#REF!</v>
      </c>
      <c r="C149" s="300"/>
      <c r="D149" s="53">
        <v>0</v>
      </c>
      <c r="E149" s="88">
        <v>616095</v>
      </c>
      <c r="F149" s="65" t="s">
        <v>34</v>
      </c>
      <c r="G149" s="273" t="s">
        <v>223</v>
      </c>
      <c r="H149" s="274"/>
      <c r="I149" s="274"/>
      <c r="J149" s="275"/>
      <c r="K149" s="65" t="s">
        <v>34</v>
      </c>
      <c r="L149" s="60"/>
      <c r="M149" s="60" t="s">
        <v>36</v>
      </c>
      <c r="N149" s="57"/>
      <c r="O149" s="82"/>
      <c r="P149" s="148"/>
      <c r="Q149" s="62"/>
      <c r="R149" s="66"/>
      <c r="S149" s="68"/>
      <c r="T149" s="140"/>
      <c r="U149" s="57"/>
      <c r="V149" s="139"/>
      <c r="W149" s="70"/>
    </row>
    <row r="150" spans="2:23" ht="24.95" customHeight="1" thickBot="1">
      <c r="B150" s="56" t="e">
        <f t="shared" si="3"/>
        <v>#REF!</v>
      </c>
      <c r="C150" s="300"/>
      <c r="D150" s="53">
        <v>1</v>
      </c>
      <c r="E150" s="88">
        <v>505091</v>
      </c>
      <c r="F150" s="65" t="s">
        <v>34</v>
      </c>
      <c r="G150" s="273" t="s">
        <v>224</v>
      </c>
      <c r="H150" s="274"/>
      <c r="I150" s="274"/>
      <c r="J150" s="275"/>
      <c r="K150" s="65" t="s">
        <v>34</v>
      </c>
      <c r="L150" s="60"/>
      <c r="M150" s="60" t="s">
        <v>36</v>
      </c>
      <c r="N150" s="57"/>
      <c r="O150" s="82"/>
      <c r="P150" s="148"/>
      <c r="Q150" s="62"/>
      <c r="R150" s="66"/>
      <c r="S150" s="57"/>
      <c r="T150" s="139"/>
      <c r="U150" s="57"/>
      <c r="V150" s="139"/>
      <c r="W150" s="107"/>
    </row>
    <row r="151" spans="2:23" ht="24.95" customHeight="1" thickBot="1">
      <c r="B151" s="56" t="e">
        <f t="shared" si="3"/>
        <v>#REF!</v>
      </c>
      <c r="C151" s="300"/>
      <c r="D151" s="53">
        <v>0</v>
      </c>
      <c r="E151" s="65">
        <v>539944</v>
      </c>
      <c r="F151" s="65" t="s">
        <v>34</v>
      </c>
      <c r="G151" s="273" t="s">
        <v>225</v>
      </c>
      <c r="H151" s="274"/>
      <c r="I151" s="274"/>
      <c r="J151" s="275"/>
      <c r="K151" s="65" t="s">
        <v>34</v>
      </c>
      <c r="L151" s="60"/>
      <c r="M151" s="60" t="s">
        <v>36</v>
      </c>
      <c r="N151" s="57"/>
      <c r="O151" s="82"/>
      <c r="P151" s="148"/>
      <c r="Q151" s="62"/>
      <c r="R151" s="66"/>
      <c r="S151" s="57"/>
      <c r="T151" s="139"/>
      <c r="U151" s="57"/>
      <c r="V151" s="139"/>
      <c r="W151" s="107"/>
    </row>
    <row r="152" spans="2:23" ht="24.95" customHeight="1" thickBot="1">
      <c r="B152" s="56" t="e">
        <f t="shared" si="3"/>
        <v>#REF!</v>
      </c>
      <c r="C152" s="300"/>
      <c r="D152" s="53">
        <v>1</v>
      </c>
      <c r="E152" s="88" t="s">
        <v>34</v>
      </c>
      <c r="F152" s="65" t="s">
        <v>226</v>
      </c>
      <c r="G152" s="273" t="s">
        <v>227</v>
      </c>
      <c r="H152" s="274"/>
      <c r="I152" s="274"/>
      <c r="J152" s="275"/>
      <c r="K152" s="65" t="s">
        <v>54</v>
      </c>
      <c r="L152" s="60"/>
      <c r="M152" s="60" t="s">
        <v>36</v>
      </c>
      <c r="N152" s="57"/>
      <c r="O152" s="82"/>
      <c r="P152" s="148"/>
      <c r="Q152" s="62">
        <v>326247561</v>
      </c>
      <c r="R152" s="66">
        <v>46032</v>
      </c>
      <c r="S152" s="57"/>
      <c r="T152" s="139"/>
      <c r="U152" s="57"/>
      <c r="V152" s="139"/>
      <c r="W152" s="107"/>
    </row>
    <row r="153" spans="2:23" ht="24.95" customHeight="1" thickBot="1">
      <c r="B153" s="56" t="e">
        <f t="shared" si="3"/>
        <v>#REF!</v>
      </c>
      <c r="C153" s="300"/>
      <c r="D153" s="53">
        <v>1</v>
      </c>
      <c r="E153" s="88" t="s">
        <v>34</v>
      </c>
      <c r="F153" s="65" t="s">
        <v>34</v>
      </c>
      <c r="G153" s="273" t="s">
        <v>228</v>
      </c>
      <c r="H153" s="274"/>
      <c r="I153" s="274"/>
      <c r="J153" s="275"/>
      <c r="K153" s="65" t="s">
        <v>54</v>
      </c>
      <c r="L153" s="60"/>
      <c r="M153" s="60" t="s">
        <v>36</v>
      </c>
      <c r="N153" s="60"/>
      <c r="O153" s="82"/>
      <c r="P153" s="148"/>
      <c r="Q153" s="62"/>
      <c r="R153" s="66"/>
      <c r="S153" s="57"/>
      <c r="T153" s="139"/>
      <c r="U153" s="57"/>
      <c r="V153" s="139"/>
      <c r="W153" s="107"/>
    </row>
    <row r="154" spans="2:23" ht="24.95" customHeight="1" thickBot="1">
      <c r="B154" s="56" t="e">
        <f t="shared" si="3"/>
        <v>#REF!</v>
      </c>
      <c r="C154" s="300"/>
      <c r="D154" s="53">
        <v>2</v>
      </c>
      <c r="E154" s="88" t="s">
        <v>34</v>
      </c>
      <c r="F154" s="65" t="s">
        <v>34</v>
      </c>
      <c r="G154" s="273" t="s">
        <v>229</v>
      </c>
      <c r="H154" s="274"/>
      <c r="I154" s="274"/>
      <c r="J154" s="275"/>
      <c r="K154" s="65" t="s">
        <v>34</v>
      </c>
      <c r="L154" s="60"/>
      <c r="M154" s="60" t="s">
        <v>36</v>
      </c>
      <c r="N154" s="60"/>
      <c r="O154" s="82"/>
      <c r="P154" s="148"/>
      <c r="Q154" s="62"/>
      <c r="R154" s="66"/>
      <c r="S154" s="68"/>
      <c r="T154" s="140"/>
      <c r="U154" s="57"/>
      <c r="V154" s="139"/>
      <c r="W154" s="107"/>
    </row>
    <row r="155" spans="2:23" ht="24.95" customHeight="1" thickBot="1">
      <c r="B155" s="56" t="e">
        <f t="shared" si="3"/>
        <v>#REF!</v>
      </c>
      <c r="C155" s="300"/>
      <c r="D155" s="53">
        <v>1</v>
      </c>
      <c r="E155" s="88">
        <v>523443</v>
      </c>
      <c r="F155" s="65" t="s">
        <v>230</v>
      </c>
      <c r="G155" s="273" t="s">
        <v>231</v>
      </c>
      <c r="H155" s="274"/>
      <c r="I155" s="274"/>
      <c r="J155" s="275"/>
      <c r="K155" s="65" t="s">
        <v>34</v>
      </c>
      <c r="L155" s="60"/>
      <c r="M155" s="60" t="s">
        <v>36</v>
      </c>
      <c r="N155" s="154"/>
      <c r="O155" s="82"/>
      <c r="P155" s="148"/>
      <c r="Q155" s="62"/>
      <c r="R155" s="66"/>
      <c r="S155" s="68"/>
      <c r="T155" s="140"/>
      <c r="U155" s="57"/>
      <c r="V155" s="139"/>
      <c r="W155" s="107"/>
    </row>
    <row r="156" spans="2:23" ht="24.95" customHeight="1" thickBot="1">
      <c r="B156" s="56" t="e">
        <f>IF(#REF!="","",1+B155)</f>
        <v>#REF!</v>
      </c>
      <c r="C156" s="300"/>
      <c r="D156" s="53">
        <v>1</v>
      </c>
      <c r="E156" s="88">
        <v>527892</v>
      </c>
      <c r="F156" s="65" t="s">
        <v>232</v>
      </c>
      <c r="G156" s="273" t="s">
        <v>233</v>
      </c>
      <c r="H156" s="274"/>
      <c r="I156" s="274"/>
      <c r="J156" s="275"/>
      <c r="K156" s="65" t="s">
        <v>34</v>
      </c>
      <c r="L156" s="60"/>
      <c r="M156" s="60" t="s">
        <v>36</v>
      </c>
      <c r="N156" s="60"/>
      <c r="O156" s="82"/>
      <c r="P156" s="148"/>
      <c r="Q156" s="62"/>
      <c r="R156" s="66"/>
      <c r="S156" s="68"/>
      <c r="T156" s="140"/>
      <c r="U156" s="57"/>
      <c r="V156" s="139"/>
      <c r="W156" s="107"/>
    </row>
    <row r="157" spans="2:23" ht="24.95" customHeight="1" thickBot="1">
      <c r="B157" s="56" t="e">
        <f>IF(#REF!="","",1+B156)</f>
        <v>#REF!</v>
      </c>
      <c r="C157" s="300"/>
      <c r="D157" s="53">
        <v>2</v>
      </c>
      <c r="E157" s="88">
        <v>671862</v>
      </c>
      <c r="F157" s="65" t="s">
        <v>234</v>
      </c>
      <c r="G157" s="273" t="s">
        <v>235</v>
      </c>
      <c r="H157" s="274"/>
      <c r="I157" s="274"/>
      <c r="J157" s="275"/>
      <c r="K157" s="65" t="s">
        <v>54</v>
      </c>
      <c r="L157" s="60"/>
      <c r="M157" s="60"/>
      <c r="N157" s="57"/>
      <c r="O157" s="82"/>
      <c r="P157" s="148"/>
      <c r="Q157" s="62">
        <v>326245914</v>
      </c>
      <c r="R157" s="66">
        <v>46032</v>
      </c>
      <c r="S157" s="68"/>
      <c r="T157" s="140"/>
      <c r="U157" s="57"/>
      <c r="V157" s="139"/>
      <c r="W157" s="107"/>
    </row>
    <row r="158" spans="2:23" ht="37.5" customHeight="1" thickBot="1">
      <c r="B158" s="56" t="e">
        <f>IF(#REF!="","",1+B157)</f>
        <v>#REF!</v>
      </c>
      <c r="C158" s="300"/>
      <c r="D158" s="53">
        <v>1</v>
      </c>
      <c r="E158" s="88" t="s">
        <v>34</v>
      </c>
      <c r="F158" s="65" t="s">
        <v>236</v>
      </c>
      <c r="G158" s="273" t="s">
        <v>237</v>
      </c>
      <c r="H158" s="274"/>
      <c r="I158" s="274"/>
      <c r="J158" s="275"/>
      <c r="K158" s="65" t="s">
        <v>54</v>
      </c>
      <c r="L158" s="60"/>
      <c r="M158" s="60"/>
      <c r="N158" s="57"/>
      <c r="O158" s="82"/>
      <c r="P158" s="148"/>
      <c r="Q158" s="62">
        <v>326245914</v>
      </c>
      <c r="R158" s="66">
        <v>46032</v>
      </c>
      <c r="S158" s="68"/>
      <c r="T158" s="140"/>
      <c r="U158" s="57"/>
      <c r="V158" s="139"/>
      <c r="W158" s="107"/>
    </row>
    <row r="159" spans="2:23" ht="24.95" customHeight="1" thickBot="1">
      <c r="B159" s="56" t="e">
        <f>IF(#REF!="","",1+B158)</f>
        <v>#REF!</v>
      </c>
      <c r="C159" s="300"/>
      <c r="D159" s="53">
        <v>1</v>
      </c>
      <c r="E159" s="88" t="s">
        <v>34</v>
      </c>
      <c r="F159" s="65" t="s">
        <v>238</v>
      </c>
      <c r="G159" s="273" t="s">
        <v>239</v>
      </c>
      <c r="H159" s="274"/>
      <c r="I159" s="274"/>
      <c r="J159" s="275"/>
      <c r="K159" s="65" t="s">
        <v>54</v>
      </c>
      <c r="L159" s="60"/>
      <c r="M159" s="60"/>
      <c r="N159" s="57"/>
      <c r="O159" s="82"/>
      <c r="P159" s="148"/>
      <c r="Q159" s="62">
        <v>326245759</v>
      </c>
      <c r="R159" s="66">
        <v>46031</v>
      </c>
      <c r="S159" s="68"/>
      <c r="T159" s="140"/>
      <c r="U159" s="57"/>
      <c r="V159" s="139"/>
      <c r="W159" s="107" t="s">
        <v>240</v>
      </c>
    </row>
    <row r="160" spans="2:23" ht="24.95" customHeight="1" thickBot="1">
      <c r="B160" s="56" t="e">
        <f>IF(#REF!="","",1+B159)</f>
        <v>#REF!</v>
      </c>
      <c r="C160" s="300"/>
      <c r="D160" s="53">
        <v>1</v>
      </c>
      <c r="E160" s="88" t="s">
        <v>34</v>
      </c>
      <c r="F160" s="65" t="s">
        <v>34</v>
      </c>
      <c r="G160" s="273" t="s">
        <v>241</v>
      </c>
      <c r="H160" s="274"/>
      <c r="I160" s="274"/>
      <c r="J160" s="275"/>
      <c r="K160" s="65" t="s">
        <v>34</v>
      </c>
      <c r="L160" s="60"/>
      <c r="M160" s="60"/>
      <c r="N160" s="57"/>
      <c r="O160" s="82"/>
      <c r="P160" s="148"/>
      <c r="Q160" s="62"/>
      <c r="R160" s="66"/>
      <c r="S160" s="68"/>
      <c r="T160" s="140"/>
      <c r="U160" s="57"/>
      <c r="V160" s="139"/>
      <c r="W160" s="107"/>
    </row>
    <row r="161" spans="2:23" ht="31.5" customHeight="1" thickBot="1">
      <c r="B161" s="56" t="e">
        <f>IF(G156="","",1+B160)</f>
        <v>#REF!</v>
      </c>
      <c r="C161" s="300"/>
      <c r="D161" s="53">
        <v>1</v>
      </c>
      <c r="E161" s="88">
        <v>495079</v>
      </c>
      <c r="F161" s="65" t="s">
        <v>34</v>
      </c>
      <c r="G161" s="273" t="s">
        <v>242</v>
      </c>
      <c r="H161" s="274"/>
      <c r="I161" s="274"/>
      <c r="J161" s="275"/>
      <c r="K161" s="65" t="s">
        <v>34</v>
      </c>
      <c r="L161" s="60"/>
      <c r="M161" s="60"/>
      <c r="N161" s="57"/>
      <c r="O161" s="82"/>
      <c r="P161" s="148"/>
      <c r="Q161" s="62"/>
      <c r="R161" s="66"/>
      <c r="S161" s="68"/>
      <c r="T161" s="140"/>
      <c r="U161" s="57"/>
      <c r="V161" s="139"/>
      <c r="W161" s="107"/>
    </row>
    <row r="162" spans="2:23" ht="24.95" customHeight="1" thickBot="1">
      <c r="B162" s="56" t="e">
        <f>IF(G157="","",1+B161)</f>
        <v>#REF!</v>
      </c>
      <c r="C162" s="300"/>
      <c r="D162" s="53">
        <v>1</v>
      </c>
      <c r="E162" s="88">
        <v>496061</v>
      </c>
      <c r="F162" s="65" t="s">
        <v>243</v>
      </c>
      <c r="G162" s="273" t="s">
        <v>244</v>
      </c>
      <c r="H162" s="274"/>
      <c r="I162" s="274"/>
      <c r="J162" s="275"/>
      <c r="K162" s="65" t="s">
        <v>34</v>
      </c>
      <c r="L162" s="60"/>
      <c r="M162" s="60"/>
      <c r="N162" s="60"/>
      <c r="O162" s="82"/>
      <c r="P162" s="148"/>
      <c r="Q162" s="62"/>
      <c r="R162" s="66"/>
      <c r="S162" s="60"/>
      <c r="T162" s="140"/>
      <c r="U162" s="57"/>
      <c r="V162" s="139"/>
      <c r="W162" s="107"/>
    </row>
    <row r="163" spans="2:23" ht="24.95" customHeight="1" thickBot="1">
      <c r="B163" s="56" t="e">
        <f>IF(#REF!="","",1+B162)</f>
        <v>#REF!</v>
      </c>
      <c r="C163" s="300"/>
      <c r="D163" s="53">
        <v>1</v>
      </c>
      <c r="E163" s="88">
        <v>504919</v>
      </c>
      <c r="F163" s="65" t="s">
        <v>245</v>
      </c>
      <c r="G163" s="273" t="s">
        <v>246</v>
      </c>
      <c r="H163" s="274"/>
      <c r="I163" s="274"/>
      <c r="J163" s="275"/>
      <c r="K163" s="65" t="s">
        <v>34</v>
      </c>
      <c r="L163" s="60"/>
      <c r="M163" s="60"/>
      <c r="N163" s="60"/>
      <c r="O163" s="82"/>
      <c r="P163" s="148"/>
      <c r="Q163" s="62"/>
      <c r="R163" s="66"/>
      <c r="S163" s="68"/>
      <c r="T163" s="140"/>
      <c r="U163" s="57"/>
      <c r="V163" s="139"/>
      <c r="W163" s="107"/>
    </row>
    <row r="164" spans="2:23" ht="24.95" customHeight="1" thickBot="1">
      <c r="B164" s="56" t="e">
        <f>IF(G159="","",1+B163)</f>
        <v>#REF!</v>
      </c>
      <c r="C164" s="300"/>
      <c r="D164" s="53">
        <v>1</v>
      </c>
      <c r="E164" s="88" t="s">
        <v>34</v>
      </c>
      <c r="F164" s="65" t="s">
        <v>34</v>
      </c>
      <c r="G164" s="273" t="s">
        <v>247</v>
      </c>
      <c r="H164" s="274"/>
      <c r="I164" s="274"/>
      <c r="J164" s="275"/>
      <c r="K164" s="65" t="s">
        <v>248</v>
      </c>
      <c r="L164" s="60"/>
      <c r="M164" s="60"/>
      <c r="N164" s="60"/>
      <c r="O164" s="82"/>
      <c r="P164" s="148"/>
      <c r="Q164" s="60">
        <v>326246129</v>
      </c>
      <c r="R164" s="66">
        <v>46035</v>
      </c>
      <c r="S164" s="60"/>
      <c r="T164" s="140"/>
      <c r="U164" s="57" t="s">
        <v>41</v>
      </c>
      <c r="V164" s="139" t="s">
        <v>3</v>
      </c>
      <c r="W164" s="107"/>
    </row>
    <row r="165" spans="2:23" ht="24.95" customHeight="1" thickBot="1">
      <c r="B165" s="56" t="e">
        <f>IF(G160="","",1+B164)</f>
        <v>#REF!</v>
      </c>
      <c r="C165" s="300"/>
      <c r="D165" s="53">
        <v>1</v>
      </c>
      <c r="E165" s="88" t="s">
        <v>34</v>
      </c>
      <c r="F165" s="88" t="s">
        <v>34</v>
      </c>
      <c r="G165" s="273" t="s">
        <v>249</v>
      </c>
      <c r="H165" s="274"/>
      <c r="I165" s="274"/>
      <c r="J165" s="275"/>
      <c r="K165" s="65" t="s">
        <v>250</v>
      </c>
      <c r="L165" s="60"/>
      <c r="M165" s="60"/>
      <c r="N165" s="60"/>
      <c r="O165" s="82"/>
      <c r="P165" s="148"/>
      <c r="Q165" s="57">
        <v>326246129</v>
      </c>
      <c r="R165" s="67">
        <v>46035</v>
      </c>
      <c r="S165" s="68"/>
      <c r="T165" s="140"/>
      <c r="U165" s="57" t="s">
        <v>41</v>
      </c>
      <c r="V165" s="139" t="s">
        <v>3</v>
      </c>
      <c r="W165" s="107"/>
    </row>
    <row r="166" spans="2:23" ht="24.95" customHeight="1" thickBot="1">
      <c r="B166" s="56" t="e">
        <f t="shared" si="3"/>
        <v>#REF!</v>
      </c>
      <c r="C166" s="300"/>
      <c r="D166" s="53">
        <v>1</v>
      </c>
      <c r="E166" s="88" t="s">
        <v>34</v>
      </c>
      <c r="F166" s="65" t="s">
        <v>34</v>
      </c>
      <c r="G166" s="273" t="s">
        <v>251</v>
      </c>
      <c r="H166" s="274"/>
      <c r="I166" s="274"/>
      <c r="J166" s="275"/>
      <c r="K166" s="65" t="s">
        <v>40</v>
      </c>
      <c r="L166" s="60"/>
      <c r="M166" s="60"/>
      <c r="N166" s="60"/>
      <c r="O166" s="82"/>
      <c r="P166" s="148"/>
      <c r="Q166" s="57"/>
      <c r="R166" s="67"/>
      <c r="S166" s="68"/>
      <c r="T166" s="140"/>
      <c r="U166" s="57"/>
      <c r="V166" s="139"/>
      <c r="W166" s="107"/>
    </row>
    <row r="167" spans="2:23" ht="24.95" customHeight="1" thickBot="1">
      <c r="B167" s="56" t="e">
        <f>IF(G167="","",1+B166)</f>
        <v>#REF!</v>
      </c>
      <c r="C167" s="300"/>
      <c r="D167" s="53">
        <v>1</v>
      </c>
      <c r="E167" s="88" t="s">
        <v>34</v>
      </c>
      <c r="F167" s="65" t="s">
        <v>252</v>
      </c>
      <c r="G167" s="273" t="s">
        <v>253</v>
      </c>
      <c r="H167" s="274"/>
      <c r="I167" s="274"/>
      <c r="J167" s="275"/>
      <c r="K167" s="65" t="s">
        <v>54</v>
      </c>
      <c r="L167" s="69"/>
      <c r="M167" s="60"/>
      <c r="N167" s="57"/>
      <c r="O167" s="82"/>
      <c r="P167" s="148"/>
      <c r="Q167" s="82">
        <v>326245912</v>
      </c>
      <c r="R167" s="67">
        <v>46032</v>
      </c>
      <c r="S167" s="68"/>
      <c r="T167" s="140"/>
      <c r="U167" s="57"/>
      <c r="V167" s="139"/>
      <c r="W167" s="107" t="s">
        <v>254</v>
      </c>
    </row>
    <row r="168" spans="2:23" ht="24.95" customHeight="1" thickBot="1">
      <c r="B168" s="56" t="e">
        <f>IF(G168="","",1+B167)</f>
        <v>#REF!</v>
      </c>
      <c r="C168" s="300"/>
      <c r="D168" s="53">
        <v>1</v>
      </c>
      <c r="E168" s="88" t="s">
        <v>34</v>
      </c>
      <c r="F168" s="65" t="s">
        <v>34</v>
      </c>
      <c r="G168" s="273" t="s">
        <v>255</v>
      </c>
      <c r="H168" s="274"/>
      <c r="I168" s="274"/>
      <c r="J168" s="275"/>
      <c r="K168" s="65" t="s">
        <v>34</v>
      </c>
      <c r="L168" s="69"/>
      <c r="M168" s="60"/>
      <c r="N168" s="57"/>
      <c r="O168" s="82"/>
      <c r="P168" s="148"/>
      <c r="Q168" s="82"/>
      <c r="R168" s="159"/>
      <c r="S168" s="82"/>
      <c r="T168" s="140"/>
      <c r="U168" s="57"/>
      <c r="V168" s="139"/>
      <c r="W168" s="107"/>
    </row>
    <row r="169" spans="2:23" ht="24.95" customHeight="1" thickBot="1">
      <c r="B169" s="56" t="e">
        <f>IF(G169="","",1+B168)</f>
        <v>#REF!</v>
      </c>
      <c r="C169" s="300"/>
      <c r="D169" s="53">
        <v>1</v>
      </c>
      <c r="E169" s="88"/>
      <c r="F169" s="88" t="s">
        <v>256</v>
      </c>
      <c r="G169" s="273" t="s">
        <v>257</v>
      </c>
      <c r="H169" s="274"/>
      <c r="I169" s="274"/>
      <c r="J169" s="275"/>
      <c r="K169" s="65" t="s">
        <v>40</v>
      </c>
      <c r="L169" s="60"/>
      <c r="M169" s="60"/>
      <c r="N169" s="60"/>
      <c r="O169" s="82"/>
      <c r="P169" s="148"/>
      <c r="Q169" s="57">
        <v>326246323</v>
      </c>
      <c r="R169" s="67">
        <v>46035</v>
      </c>
      <c r="S169" s="68"/>
      <c r="T169" s="140"/>
      <c r="U169" s="57" t="s">
        <v>91</v>
      </c>
      <c r="V169" s="139" t="s">
        <v>3</v>
      </c>
      <c r="W169" s="107"/>
    </row>
    <row r="170" spans="2:23" ht="24.95" customHeight="1" thickBot="1">
      <c r="B170" s="56" t="e">
        <f>IF(#REF!="","",1+B169)</f>
        <v>#REF!</v>
      </c>
      <c r="C170" s="300"/>
      <c r="D170" s="53"/>
      <c r="E170" s="88"/>
      <c r="F170" s="65"/>
      <c r="G170" s="273" t="s">
        <v>258</v>
      </c>
      <c r="H170" s="274"/>
      <c r="I170" s="274"/>
      <c r="J170" s="275"/>
      <c r="K170" s="65"/>
      <c r="L170" s="60"/>
      <c r="M170" s="60"/>
      <c r="N170" s="60"/>
      <c r="O170" s="82"/>
      <c r="P170" s="148"/>
      <c r="Q170" s="57"/>
      <c r="R170" s="67"/>
      <c r="S170" s="68"/>
      <c r="T170" s="140"/>
      <c r="U170" s="57"/>
      <c r="V170" s="139"/>
      <c r="W170" s="107"/>
    </row>
    <row r="171" spans="2:23" ht="24.95" customHeight="1" thickBot="1">
      <c r="B171" s="56" t="e">
        <f>IF(G170="","",1+B170)</f>
        <v>#REF!</v>
      </c>
      <c r="C171" s="300"/>
      <c r="D171" s="53"/>
      <c r="E171" s="88"/>
      <c r="F171" s="65"/>
      <c r="G171" s="273"/>
      <c r="H171" s="274"/>
      <c r="I171" s="274"/>
      <c r="J171" s="275"/>
      <c r="K171" s="65"/>
      <c r="L171" s="69"/>
      <c r="M171" s="60"/>
      <c r="N171" s="57"/>
      <c r="O171" s="82"/>
      <c r="P171" s="148"/>
      <c r="Q171" s="82"/>
      <c r="R171" s="67"/>
      <c r="S171" s="68"/>
      <c r="T171" s="140"/>
      <c r="U171" s="57"/>
      <c r="V171" s="139"/>
      <c r="W171" s="107"/>
    </row>
    <row r="172" spans="2:23" ht="24.95" customHeight="1" thickBot="1">
      <c r="B172" s="56" t="e">
        <f>IF(G158="","",1+B171)</f>
        <v>#REF!</v>
      </c>
      <c r="C172" s="300"/>
      <c r="D172" s="53"/>
      <c r="E172" s="88"/>
      <c r="F172" s="65"/>
      <c r="G172" s="273"/>
      <c r="H172" s="274"/>
      <c r="I172" s="274"/>
      <c r="J172" s="275"/>
      <c r="K172" s="65"/>
      <c r="L172" s="69"/>
      <c r="M172" s="60"/>
      <c r="N172" s="57"/>
      <c r="O172" s="82"/>
      <c r="P172" s="148"/>
      <c r="Q172" s="82"/>
      <c r="R172" s="159"/>
      <c r="S172" s="82"/>
      <c r="T172" s="140"/>
      <c r="U172" s="57"/>
      <c r="V172" s="139"/>
      <c r="W172" s="107"/>
    </row>
    <row r="173" spans="2:23" ht="24.95" customHeight="1" thickBot="1">
      <c r="B173" s="56" t="str">
        <f t="shared" si="3"/>
        <v/>
      </c>
      <c r="C173" s="300"/>
      <c r="D173" s="53"/>
      <c r="E173" s="88"/>
      <c r="F173" s="65"/>
      <c r="G173" s="176"/>
      <c r="H173" s="177"/>
      <c r="I173" s="177"/>
      <c r="J173" s="178"/>
      <c r="K173" s="65"/>
      <c r="L173" s="69"/>
      <c r="M173" s="60"/>
      <c r="N173" s="57"/>
      <c r="O173" s="82"/>
      <c r="P173" s="148"/>
      <c r="Q173" s="82"/>
      <c r="R173" s="82"/>
      <c r="S173" s="82"/>
      <c r="T173" s="140"/>
      <c r="U173" s="57"/>
      <c r="V173" s="139"/>
      <c r="W173" s="107"/>
    </row>
    <row r="174" spans="2:23" ht="24.95" customHeight="1" thickBot="1">
      <c r="B174" s="56" t="e">
        <f>IF(#REF!="","",1+B173)</f>
        <v>#REF!</v>
      </c>
      <c r="C174" s="300"/>
      <c r="D174" s="53"/>
      <c r="E174" s="88"/>
      <c r="F174" s="65"/>
      <c r="G174" s="177"/>
      <c r="H174" s="177"/>
      <c r="I174" s="185"/>
      <c r="J174" s="178"/>
      <c r="K174" s="65"/>
      <c r="L174" s="69"/>
      <c r="M174" s="60"/>
      <c r="N174" s="57"/>
      <c r="O174" s="82"/>
      <c r="P174" s="148"/>
      <c r="Q174" s="57"/>
      <c r="R174" s="69"/>
      <c r="S174" s="68"/>
      <c r="T174" s="140"/>
      <c r="U174" s="57"/>
      <c r="V174" s="139"/>
      <c r="W174" s="107"/>
    </row>
    <row r="175" spans="2:23" ht="24.95" customHeight="1" thickBot="1">
      <c r="B175" s="56" t="e">
        <f>IF(G145="","",1+B174)</f>
        <v>#REF!</v>
      </c>
      <c r="C175" s="300"/>
      <c r="D175" s="53"/>
      <c r="E175" s="88"/>
      <c r="F175" s="65"/>
      <c r="G175" s="187"/>
      <c r="H175" s="177"/>
      <c r="I175" s="177"/>
      <c r="J175" s="178"/>
      <c r="K175" s="65"/>
      <c r="L175" s="69"/>
      <c r="M175" s="60"/>
      <c r="N175" s="154"/>
      <c r="O175" s="82"/>
      <c r="P175" s="148"/>
      <c r="Q175" s="57"/>
      <c r="R175" s="67"/>
      <c r="S175" s="68"/>
      <c r="T175" s="140"/>
      <c r="U175" s="57"/>
      <c r="V175" s="139"/>
      <c r="W175" s="107"/>
    </row>
    <row r="176" spans="2:23" ht="24.95" customHeight="1" thickBot="1">
      <c r="B176" s="56" t="str">
        <f>IF(G176="","",1+#REF!)</f>
        <v/>
      </c>
      <c r="C176" s="301"/>
      <c r="D176" s="53"/>
      <c r="E176" s="88"/>
      <c r="F176" s="65"/>
      <c r="G176" s="176"/>
      <c r="H176" s="177"/>
      <c r="I176" s="177"/>
      <c r="J176" s="178"/>
      <c r="K176" s="65"/>
      <c r="L176" s="74"/>
      <c r="M176" s="60"/>
      <c r="N176" s="72"/>
      <c r="O176" s="82"/>
      <c r="P176" s="148"/>
      <c r="Q176" s="72"/>
      <c r="R176" s="74"/>
      <c r="S176" s="72"/>
      <c r="T176" s="141"/>
      <c r="U176" s="74"/>
      <c r="V176" s="74"/>
      <c r="W176" s="112"/>
    </row>
    <row r="177" ht="20.100000000000001" customHeight="1"/>
    <row r="178" ht="20.100000000000001" customHeight="1"/>
    <row r="179"/>
    <row r="180"/>
    <row r="181"/>
    <row r="182"/>
    <row r="183"/>
    <row r="184"/>
  </sheetData>
  <sheetProtection algorithmName="SHA-512" hashValue="OjKovfP6sc/nWpTFWDxC7SvQszo1/YHNIaaK2hWUHngQ5F35imQ26lJMCtiMYyL4hO0tDAuYLo+uOwoWwqEPvA==" saltValue="IjlYvdfOZFGd93tNUrUGQg==" spinCount="100000" sheet="1" objects="1" scenarios="1"/>
  <mergeCells count="222">
    <mergeCell ref="G172:J172"/>
    <mergeCell ref="O55:P55"/>
    <mergeCell ref="G55:J55"/>
    <mergeCell ref="G53:J53"/>
    <mergeCell ref="G30:J30"/>
    <mergeCell ref="G31:J31"/>
    <mergeCell ref="G67:J67"/>
    <mergeCell ref="G68:J68"/>
    <mergeCell ref="G61:J61"/>
    <mergeCell ref="G62:J62"/>
    <mergeCell ref="G63:J63"/>
    <mergeCell ref="G64:J64"/>
    <mergeCell ref="G65:J65"/>
    <mergeCell ref="G59:J59"/>
    <mergeCell ref="G60:J60"/>
    <mergeCell ref="G38:J38"/>
    <mergeCell ref="G105:J105"/>
    <mergeCell ref="G106:J106"/>
    <mergeCell ref="G91:J91"/>
    <mergeCell ref="G92:J92"/>
    <mergeCell ref="G93:J93"/>
    <mergeCell ref="G94:J94"/>
    <mergeCell ref="G95:J95"/>
    <mergeCell ref="G96:J96"/>
    <mergeCell ref="O25:P25"/>
    <mergeCell ref="O26:P26"/>
    <mergeCell ref="O27:P27"/>
    <mergeCell ref="F8:W8"/>
    <mergeCell ref="B10:W10"/>
    <mergeCell ref="G29:J29"/>
    <mergeCell ref="G25:J25"/>
    <mergeCell ref="G26:J26"/>
    <mergeCell ref="G27:J27"/>
    <mergeCell ref="G28:J28"/>
    <mergeCell ref="C12:C26"/>
    <mergeCell ref="C27:C35"/>
    <mergeCell ref="G12:J12"/>
    <mergeCell ref="G34:J34"/>
    <mergeCell ref="G35:J35"/>
    <mergeCell ref="O28:P28"/>
    <mergeCell ref="O29:P29"/>
    <mergeCell ref="O30:P30"/>
    <mergeCell ref="O31:P31"/>
    <mergeCell ref="G32:J32"/>
    <mergeCell ref="G33:J33"/>
    <mergeCell ref="O15:P15"/>
    <mergeCell ref="O17:P17"/>
    <mergeCell ref="B1:T1"/>
    <mergeCell ref="B2:E8"/>
    <mergeCell ref="F2:I2"/>
    <mergeCell ref="L2:O2"/>
    <mergeCell ref="G24:J24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F4:I4"/>
    <mergeCell ref="L4:O4"/>
    <mergeCell ref="G11:J11"/>
    <mergeCell ref="O11:P11"/>
    <mergeCell ref="O12:P12"/>
    <mergeCell ref="O23:P23"/>
    <mergeCell ref="O24:P24"/>
    <mergeCell ref="O16:P16"/>
    <mergeCell ref="Q5:R5"/>
    <mergeCell ref="Q6:R6"/>
    <mergeCell ref="Q7:R7"/>
    <mergeCell ref="S5:T5"/>
    <mergeCell ref="S6:T6"/>
    <mergeCell ref="S7:T7"/>
    <mergeCell ref="B9:W9"/>
    <mergeCell ref="U5:V5"/>
    <mergeCell ref="U6:V6"/>
    <mergeCell ref="U7:V7"/>
    <mergeCell ref="C56:C68"/>
    <mergeCell ref="G82:J82"/>
    <mergeCell ref="G83:J83"/>
    <mergeCell ref="G84:J84"/>
    <mergeCell ref="G85:J85"/>
    <mergeCell ref="G86:J86"/>
    <mergeCell ref="G87:J87"/>
    <mergeCell ref="G88:J88"/>
    <mergeCell ref="G89:J89"/>
    <mergeCell ref="G75:J75"/>
    <mergeCell ref="G81:J81"/>
    <mergeCell ref="G72:J72"/>
    <mergeCell ref="G73:J73"/>
    <mergeCell ref="G74:J74"/>
    <mergeCell ref="G76:J76"/>
    <mergeCell ref="G77:J77"/>
    <mergeCell ref="G78:J78"/>
    <mergeCell ref="G79:J79"/>
    <mergeCell ref="C69:C88"/>
    <mergeCell ref="G80:J80"/>
    <mergeCell ref="G56:J56"/>
    <mergeCell ref="G57:J57"/>
    <mergeCell ref="G58:J58"/>
    <mergeCell ref="G69:J69"/>
    <mergeCell ref="C98:C103"/>
    <mergeCell ref="C111:C134"/>
    <mergeCell ref="G109:J109"/>
    <mergeCell ref="G110:J110"/>
    <mergeCell ref="G111:J111"/>
    <mergeCell ref="G112:J112"/>
    <mergeCell ref="G113:J113"/>
    <mergeCell ref="G107:J107"/>
    <mergeCell ref="G120:J120"/>
    <mergeCell ref="G121:J121"/>
    <mergeCell ref="G122:J122"/>
    <mergeCell ref="G123:J123"/>
    <mergeCell ref="G114:J114"/>
    <mergeCell ref="G108:J108"/>
    <mergeCell ref="G115:J115"/>
    <mergeCell ref="G116:J116"/>
    <mergeCell ref="G117:J117"/>
    <mergeCell ref="G118:J118"/>
    <mergeCell ref="G100:J100"/>
    <mergeCell ref="G101:J101"/>
    <mergeCell ref="G102:J102"/>
    <mergeCell ref="G103:J103"/>
    <mergeCell ref="G104:J104"/>
    <mergeCell ref="G134:J134"/>
    <mergeCell ref="G97:J97"/>
    <mergeCell ref="G98:J98"/>
    <mergeCell ref="G70:J70"/>
    <mergeCell ref="G71:J71"/>
    <mergeCell ref="G66:J66"/>
    <mergeCell ref="G99:J99"/>
    <mergeCell ref="G90:J90"/>
    <mergeCell ref="C36:C48"/>
    <mergeCell ref="G54:J54"/>
    <mergeCell ref="G47:J47"/>
    <mergeCell ref="G48:J48"/>
    <mergeCell ref="G45:J45"/>
    <mergeCell ref="G46:J46"/>
    <mergeCell ref="G49:J49"/>
    <mergeCell ref="G50:J50"/>
    <mergeCell ref="G51:J51"/>
    <mergeCell ref="G52:J52"/>
    <mergeCell ref="G40:J40"/>
    <mergeCell ref="G41:J41"/>
    <mergeCell ref="G42:J42"/>
    <mergeCell ref="G43:J43"/>
    <mergeCell ref="G44:J44"/>
    <mergeCell ref="C49:C55"/>
    <mergeCell ref="G39:J39"/>
    <mergeCell ref="G36:J36"/>
    <mergeCell ref="G37:J37"/>
    <mergeCell ref="C89:C92"/>
    <mergeCell ref="C93:C97"/>
    <mergeCell ref="G128:J128"/>
    <mergeCell ref="C137:C176"/>
    <mergeCell ref="G141:J141"/>
    <mergeCell ref="G142:J142"/>
    <mergeCell ref="G143:J143"/>
    <mergeCell ref="G144:J144"/>
    <mergeCell ref="G146:J146"/>
    <mergeCell ref="G147:J147"/>
    <mergeCell ref="G148:J148"/>
    <mergeCell ref="G149:J149"/>
    <mergeCell ref="G140:J140"/>
    <mergeCell ref="G137:J137"/>
    <mergeCell ref="G138:J138"/>
    <mergeCell ref="G166:J166"/>
    <mergeCell ref="G170:J170"/>
    <mergeCell ref="G158:J158"/>
    <mergeCell ref="G151:J151"/>
    <mergeCell ref="G167:J167"/>
    <mergeCell ref="C104:C110"/>
    <mergeCell ref="G131:J131"/>
    <mergeCell ref="G119:J119"/>
    <mergeCell ref="G153:J153"/>
    <mergeCell ref="G171:J171"/>
    <mergeCell ref="Q136:R136"/>
    <mergeCell ref="G139:J139"/>
    <mergeCell ref="G156:J156"/>
    <mergeCell ref="G150:J150"/>
    <mergeCell ref="G168:J168"/>
    <mergeCell ref="G169:J169"/>
    <mergeCell ref="G155:J155"/>
    <mergeCell ref="G159:J159"/>
    <mergeCell ref="G160:J160"/>
    <mergeCell ref="G157:J157"/>
    <mergeCell ref="G145:J145"/>
    <mergeCell ref="G154:J154"/>
    <mergeCell ref="G152:J152"/>
    <mergeCell ref="G161:J161"/>
    <mergeCell ref="G162:J162"/>
    <mergeCell ref="G163:J163"/>
    <mergeCell ref="G164:J164"/>
    <mergeCell ref="G165:J165"/>
    <mergeCell ref="Q3:W3"/>
    <mergeCell ref="G5:I5"/>
    <mergeCell ref="M5:O5"/>
    <mergeCell ref="G7:I7"/>
    <mergeCell ref="M7:O7"/>
    <mergeCell ref="F3:O3"/>
    <mergeCell ref="G136:J136"/>
    <mergeCell ref="G129:J129"/>
    <mergeCell ref="G130:J130"/>
    <mergeCell ref="G132:J132"/>
    <mergeCell ref="G133:J133"/>
    <mergeCell ref="G135:J135"/>
    <mergeCell ref="G124:J124"/>
    <mergeCell ref="G125:J125"/>
    <mergeCell ref="G126:J126"/>
    <mergeCell ref="G127:J127"/>
    <mergeCell ref="Q4:W4"/>
    <mergeCell ref="O18:P18"/>
    <mergeCell ref="O19:P19"/>
    <mergeCell ref="O20:P20"/>
    <mergeCell ref="O21:P21"/>
    <mergeCell ref="O22:P22"/>
    <mergeCell ref="O13:P13"/>
    <mergeCell ref="O14:P14"/>
  </mergeCells>
  <phoneticPr fontId="17" type="noConversion"/>
  <conditionalFormatting sqref="D154:F168">
    <cfRule type="expression" dxfId="77" priority="10">
      <formula>$D154=0</formula>
    </cfRule>
  </conditionalFormatting>
  <conditionalFormatting sqref="D153:G153">
    <cfRule type="expression" dxfId="76" priority="31">
      <formula>$D153=0</formula>
    </cfRule>
  </conditionalFormatting>
  <conditionalFormatting sqref="D169:G176">
    <cfRule type="expression" dxfId="75" priority="49">
      <formula>$D169=0</formula>
    </cfRule>
  </conditionalFormatting>
  <conditionalFormatting sqref="G135">
    <cfRule type="expression" dxfId="74" priority="500">
      <formula>$D135=0</formula>
    </cfRule>
  </conditionalFormatting>
  <conditionalFormatting sqref="G146:G168">
    <cfRule type="expression" dxfId="73" priority="2">
      <formula>$D146=0</formula>
    </cfRule>
  </conditionalFormatting>
  <conditionalFormatting sqref="G136:J145">
    <cfRule type="expression" dxfId="72" priority="4">
      <formula>$D136=0</formula>
    </cfRule>
  </conditionalFormatting>
  <conditionalFormatting sqref="K12:M160 N153:P157 N154 S155:W157 N158 N159:P160 S159:W160 N164:Q164 S164:U164 L164:M166 K164:K176 N168:Q168 S168:U168 L168:M170 O169:U169">
    <cfRule type="expression" dxfId="71" priority="60">
      <formula>$D12=0</formula>
    </cfRule>
  </conditionalFormatting>
  <conditionalFormatting sqref="K167:M167">
    <cfRule type="expression" dxfId="70" priority="41">
      <formula>$D167=0</formula>
    </cfRule>
  </conditionalFormatting>
  <conditionalFormatting sqref="K163:N163">
    <cfRule type="expression" dxfId="69" priority="11">
      <formula>$D163=0</formula>
    </cfRule>
  </conditionalFormatting>
  <conditionalFormatting sqref="K157:P166 S157:V166">
    <cfRule type="expression" dxfId="68" priority="15">
      <formula>$D157=0</formula>
    </cfRule>
  </conditionalFormatting>
  <conditionalFormatting sqref="L21:N22 Q21:T23">
    <cfRule type="expression" dxfId="67" priority="456">
      <formula>$D21=0</formula>
    </cfRule>
  </conditionalFormatting>
  <conditionalFormatting sqref="L12:T20">
    <cfRule type="expression" dxfId="66" priority="100">
      <formula>$D12=0</formula>
    </cfRule>
  </conditionalFormatting>
  <conditionalFormatting sqref="L167:W167">
    <cfRule type="expression" dxfId="65" priority="24">
      <formula>$D166=0</formula>
    </cfRule>
  </conditionalFormatting>
  <conditionalFormatting sqref="L168:W168">
    <cfRule type="expression" dxfId="64" priority="26">
      <formula>$D154=0</formula>
    </cfRule>
  </conditionalFormatting>
  <conditionalFormatting sqref="L171:W171">
    <cfRule type="expression" dxfId="63" priority="653">
      <formula>$D170=0</formula>
    </cfRule>
  </conditionalFormatting>
  <conditionalFormatting sqref="L172:W172">
    <cfRule type="expression" dxfId="62" priority="750">
      <formula>$D158=0</formula>
    </cfRule>
  </conditionalFormatting>
  <conditionalFormatting sqref="L175:W175">
    <cfRule type="expression" dxfId="61" priority="737">
      <formula>$D145=0</formula>
    </cfRule>
  </conditionalFormatting>
  <conditionalFormatting sqref="N23:N28 Q25:T28 Q56:T57">
    <cfRule type="expression" dxfId="60" priority="338">
      <formula>$D23=0</formula>
    </cfRule>
  </conditionalFormatting>
  <conditionalFormatting sqref="N165:N167">
    <cfRule type="expression" dxfId="59" priority="20">
      <formula>$D165=0</formula>
    </cfRule>
  </conditionalFormatting>
  <conditionalFormatting sqref="N169:N170">
    <cfRule type="expression" dxfId="58" priority="64">
      <formula>$D169=0</formula>
    </cfRule>
  </conditionalFormatting>
  <conditionalFormatting sqref="N56:P144">
    <cfRule type="expression" dxfId="57" priority="91">
      <formula>$D56=0</formula>
    </cfRule>
  </conditionalFormatting>
  <conditionalFormatting sqref="N29:T55">
    <cfRule type="expression" dxfId="56" priority="99">
      <formula>$D29=0</formula>
    </cfRule>
  </conditionalFormatting>
  <conditionalFormatting sqref="N143:W143">
    <cfRule type="expression" dxfId="55" priority="36">
      <formula>#REF!=0</formula>
    </cfRule>
  </conditionalFormatting>
  <conditionalFormatting sqref="N145:W145">
    <cfRule type="expression" dxfId="54" priority="32">
      <formula>#REF!=0</formula>
    </cfRule>
  </conditionalFormatting>
  <conditionalFormatting sqref="O21:P28">
    <cfRule type="expression" dxfId="53" priority="101">
      <formula>$D21=0</formula>
    </cfRule>
  </conditionalFormatting>
  <conditionalFormatting sqref="O154:P154 S154:W154">
    <cfRule type="expression" dxfId="52" priority="25">
      <formula>#REF!=0</formula>
    </cfRule>
  </conditionalFormatting>
  <conditionalFormatting sqref="O158:P158 S158:W158">
    <cfRule type="expression" dxfId="51" priority="729">
      <formula>#REF!=0</formula>
    </cfRule>
  </conditionalFormatting>
  <conditionalFormatting sqref="O163:P163 S163:V163">
    <cfRule type="expression" dxfId="50" priority="13">
      <formula>#REF!=0</formula>
    </cfRule>
  </conditionalFormatting>
  <conditionalFormatting sqref="O167:P167 S167:V167">
    <cfRule type="expression" dxfId="49" priority="43">
      <formula>#REF!=0</formula>
    </cfRule>
  </conditionalFormatting>
  <conditionalFormatting sqref="O165:U165">
    <cfRule type="expression" dxfId="48" priority="23">
      <formula>$D165=0</formula>
    </cfRule>
  </conditionalFormatting>
  <conditionalFormatting sqref="O166:W166">
    <cfRule type="expression" dxfId="47" priority="27">
      <formula>#REF!=0</formula>
    </cfRule>
  </conditionalFormatting>
  <conditionalFormatting sqref="O170:W170">
    <cfRule type="expression" dxfId="46" priority="759">
      <formula>#REF!=0</formula>
    </cfRule>
  </conditionalFormatting>
  <conditionalFormatting sqref="Q151:Q167">
    <cfRule type="expression" dxfId="45" priority="29">
      <formula>$D151=0</formula>
    </cfRule>
  </conditionalFormatting>
  <conditionalFormatting sqref="Q59:R63">
    <cfRule type="expression" dxfId="44" priority="481">
      <formula>$D59=0</formula>
    </cfRule>
  </conditionalFormatting>
  <conditionalFormatting sqref="Q64:T143">
    <cfRule type="expression" dxfId="43" priority="1">
      <formula>$D64=0</formula>
    </cfRule>
  </conditionalFormatting>
  <conditionalFormatting sqref="Q142:W142">
    <cfRule type="expression" dxfId="42" priority="33">
      <formula>$D142=0</formula>
    </cfRule>
  </conditionalFormatting>
  <conditionalFormatting sqref="Q144:W144">
    <cfRule type="expression" dxfId="41" priority="93">
      <formula>$D144=0</formula>
    </cfRule>
  </conditionalFormatting>
  <conditionalFormatting sqref="R151:R168">
    <cfRule type="expression" dxfId="40" priority="28">
      <formula>$D151=0</formula>
    </cfRule>
  </conditionalFormatting>
  <conditionalFormatting sqref="U12:U23 G12:J134 Q24:U24 U25:U143 Q58 R58:T59 S60:T63">
    <cfRule type="expression" dxfId="39" priority="575">
      <formula>$D12=0</formula>
    </cfRule>
  </conditionalFormatting>
  <conditionalFormatting sqref="V147">
    <cfRule type="expression" dxfId="38" priority="34">
      <formula>$D147=0</formula>
    </cfRule>
  </conditionalFormatting>
  <conditionalFormatting sqref="V149">
    <cfRule type="expression" dxfId="37" priority="199">
      <formula>$D149=0</formula>
    </cfRule>
  </conditionalFormatting>
  <conditionalFormatting sqref="V12:W87 D12:F145 V88:V89 N144:U153 D144:E155 V145 V146:W146 F146:F147 V148:W148 D148:F152 F149:F155 S154:U155 K173:W174 L176:W176">
    <cfRule type="expression" dxfId="36" priority="145">
      <formula>$D12=0</formula>
    </cfRule>
  </conditionalFormatting>
  <conditionalFormatting sqref="V90:W144">
    <cfRule type="expression" dxfId="35" priority="85">
      <formula>$D90=0</formula>
    </cfRule>
  </conditionalFormatting>
  <conditionalFormatting sqref="V150:W155">
    <cfRule type="expression" dxfId="34" priority="68">
      <formula>$D150=0</formula>
    </cfRule>
  </conditionalFormatting>
  <conditionalFormatting sqref="V164:W165">
    <cfRule type="expression" dxfId="33" priority="21">
      <formula>$D164=0</formula>
    </cfRule>
  </conditionalFormatting>
  <conditionalFormatting sqref="V168:W169">
    <cfRule type="expression" dxfId="32" priority="69">
      <formula>$D168=0</formula>
    </cfRule>
  </conditionalFormatting>
  <conditionalFormatting sqref="W88:W89">
    <cfRule type="expression" dxfId="31" priority="66">
      <formula>$D87=0</formula>
    </cfRule>
  </conditionalFormatting>
  <conditionalFormatting sqref="W147">
    <cfRule type="expression" dxfId="30" priority="35">
      <formula>$D135=0</formula>
    </cfRule>
    <cfRule type="expression" dxfId="29" priority="67">
      <formula>#REF!=0</formula>
    </cfRule>
  </conditionalFormatting>
  <conditionalFormatting sqref="W149">
    <cfRule type="expression" dxfId="28" priority="725">
      <formula>$D137=0</formula>
    </cfRule>
  </conditionalFormatting>
  <conditionalFormatting sqref="W157:W166">
    <cfRule type="expression" dxfId="27" priority="51">
      <formula>#REF!=0</formula>
    </cfRule>
  </conditionalFormatting>
  <conditionalFormatting sqref="W163">
    <cfRule type="expression" dxfId="26" priority="22">
      <formula>$D163=0</formula>
    </cfRule>
  </conditionalFormatting>
  <conditionalFormatting sqref="W167">
    <cfRule type="expression" dxfId="25" priority="72">
      <formula>$D167=0</formula>
    </cfRule>
  </conditionalFormatting>
  <printOptions horizontalCentered="1" verticalCentered="1"/>
  <pageMargins left="0" right="0" top="0" bottom="0" header="0" footer="0"/>
  <pageSetup paperSize="9" scale="43" fitToHeight="0" orientation="landscape" r:id="rId1"/>
  <headerFooter>
    <oddFooter>&amp;C&amp;1#&amp;"Arial Black"&amp;11&amp;K737373PÚBLICA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Dropdown!$C$3:$C$43</xm:f>
          </x14:formula1>
          <xm:sqref>K12:K67 K176 K173:K174 K69:K160 K166:K170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>
    <pageSetUpPr fitToPage="1"/>
  </sheetPr>
  <dimension ref="A1:Y460"/>
  <sheetViews>
    <sheetView showGridLines="0" tabSelected="1" zoomScale="70" zoomScaleNormal="70" workbookViewId="0">
      <pane xSplit="2" ySplit="11" topLeftCell="D26" activePane="bottomRight" state="frozen"/>
      <selection pane="bottomRight" activeCell="L28" sqref="L28"/>
      <selection pane="bottomLeft" activeCell="A13" sqref="A13"/>
      <selection pane="topRight" activeCell="C1" sqref="C1"/>
    </sheetView>
  </sheetViews>
  <sheetFormatPr defaultColWidth="0" defaultRowHeight="15" zeroHeight="1"/>
  <cols>
    <col min="1" max="1" width="0.85546875" style="1" customWidth="1"/>
    <col min="2" max="2" width="8.7109375" style="3" customWidth="1"/>
    <col min="3" max="3" width="13.7109375" style="3" customWidth="1"/>
    <col min="4" max="4" width="18.5703125" style="3" customWidth="1"/>
    <col min="5" max="7" width="13.7109375" style="3" customWidth="1"/>
    <col min="8" max="8" width="24.28515625" style="3" customWidth="1"/>
    <col min="9" max="9" width="41.42578125" style="3" customWidth="1"/>
    <col min="10" max="10" width="35.7109375" style="3" customWidth="1"/>
    <col min="11" max="11" width="16.28515625" style="3" customWidth="1"/>
    <col min="12" max="12" width="21.42578125" style="3" customWidth="1"/>
    <col min="13" max="13" width="17.5703125" style="3" customWidth="1"/>
    <col min="14" max="14" width="6.7109375" style="3" customWidth="1"/>
    <col min="15" max="15" width="5.7109375" style="3" customWidth="1"/>
    <col min="16" max="16" width="8.85546875" style="3" customWidth="1"/>
    <col min="17" max="17" width="13.85546875" style="3" customWidth="1"/>
    <col min="18" max="18" width="13.7109375" style="3" customWidth="1"/>
    <col min="19" max="19" width="17" style="3" customWidth="1"/>
    <col min="20" max="20" width="26.7109375" style="3" customWidth="1"/>
    <col min="21" max="21" width="18" style="1" customWidth="1"/>
    <col min="22" max="22" width="13.7109375" style="1" customWidth="1"/>
    <col min="23" max="23" width="31.85546875" style="1" customWidth="1"/>
    <col min="24" max="24" width="0.85546875" style="1" customWidth="1"/>
    <col min="25" max="25" width="0" style="1" hidden="1" customWidth="1"/>
    <col min="26" max="16384" width="9.140625" style="1" hidden="1"/>
  </cols>
  <sheetData>
    <row r="1" spans="1:24" ht="5.0999999999999996" customHeight="1" thickBot="1"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</row>
    <row r="2" spans="1:24" ht="5.0999999999999996" customHeight="1" thickBot="1">
      <c r="B2" s="341"/>
      <c r="C2" s="342"/>
      <c r="D2" s="342"/>
      <c r="E2" s="342"/>
      <c r="F2" s="22"/>
      <c r="G2" s="22"/>
      <c r="H2" s="22"/>
      <c r="I2" s="22"/>
      <c r="J2" s="22"/>
      <c r="K2" s="22"/>
      <c r="L2" s="22"/>
      <c r="M2" s="22"/>
      <c r="N2" s="22"/>
      <c r="O2" s="22"/>
      <c r="P2" s="6"/>
      <c r="Q2" s="20"/>
      <c r="R2" s="20"/>
      <c r="S2" s="20"/>
      <c r="T2" s="20"/>
      <c r="U2" s="20"/>
      <c r="V2" s="20"/>
      <c r="W2" s="21"/>
    </row>
    <row r="3" spans="1:24" ht="30" customHeight="1" thickBot="1">
      <c r="B3" s="343"/>
      <c r="C3" s="340"/>
      <c r="D3" s="340"/>
      <c r="E3" s="340"/>
      <c r="F3" s="256" t="str">
        <f>Geral!F3</f>
        <v>Controle de Equipamentos Offshore</v>
      </c>
      <c r="G3" s="257"/>
      <c r="H3" s="257"/>
      <c r="I3" s="257"/>
      <c r="J3" s="257"/>
      <c r="K3" s="257"/>
      <c r="L3" s="257"/>
      <c r="M3" s="257"/>
      <c r="N3" s="257"/>
      <c r="O3" s="258"/>
      <c r="Q3" s="256" t="str">
        <f>Geral!Q3</f>
        <v>Equipe a bordo</v>
      </c>
      <c r="R3" s="257"/>
      <c r="S3" s="257"/>
      <c r="T3" s="257"/>
      <c r="U3" s="257"/>
      <c r="V3" s="257"/>
      <c r="W3" s="258"/>
    </row>
    <row r="4" spans="1:24" ht="5.0999999999999996" customHeight="1" thickBot="1">
      <c r="B4" s="343"/>
      <c r="C4" s="340"/>
      <c r="D4" s="340"/>
      <c r="E4" s="340"/>
      <c r="F4" s="19"/>
      <c r="G4" s="19"/>
      <c r="H4" s="19"/>
      <c r="I4" s="19"/>
      <c r="J4" s="19"/>
      <c r="K4" s="19"/>
      <c r="L4" s="19"/>
      <c r="M4" s="19"/>
      <c r="N4" s="19"/>
      <c r="O4" s="19"/>
      <c r="Q4" s="276"/>
      <c r="R4" s="277"/>
      <c r="S4" s="277"/>
      <c r="T4" s="277"/>
      <c r="U4" s="277"/>
      <c r="V4" s="277"/>
      <c r="W4" s="278"/>
    </row>
    <row r="5" spans="1:24" s="124" customFormat="1" ht="20.100000000000001" customHeight="1" thickBot="1">
      <c r="B5" s="343"/>
      <c r="C5" s="340"/>
      <c r="D5" s="340"/>
      <c r="E5" s="340"/>
      <c r="F5" s="113" t="str">
        <f>Geral!F5</f>
        <v>Sonda:</v>
      </c>
      <c r="G5" s="379" t="s">
        <v>3</v>
      </c>
      <c r="H5" s="380"/>
      <c r="I5" s="381"/>
      <c r="J5" s="125"/>
      <c r="K5" s="125"/>
      <c r="L5" s="113" t="str">
        <f>Geral!L5</f>
        <v>Poço:</v>
      </c>
      <c r="M5" s="259" t="s">
        <v>5</v>
      </c>
      <c r="N5" s="260"/>
      <c r="O5" s="261"/>
      <c r="P5" s="126"/>
      <c r="Q5" s="332" t="str">
        <f>Geral!Q5</f>
        <v xml:space="preserve">Supervisor </v>
      </c>
      <c r="R5" s="333"/>
      <c r="S5" s="336" t="s">
        <v>259</v>
      </c>
      <c r="T5" s="337"/>
      <c r="U5" s="332" t="str">
        <f>Geral!U5</f>
        <v xml:space="preserve">Supervisor </v>
      </c>
      <c r="V5" s="333"/>
      <c r="W5" s="51"/>
      <c r="X5" s="167"/>
    </row>
    <row r="6" spans="1:24" ht="20.100000000000001" customHeight="1" thickBot="1">
      <c r="B6" s="343"/>
      <c r="C6" s="340"/>
      <c r="D6" s="340"/>
      <c r="E6" s="340"/>
      <c r="F6" s="18"/>
      <c r="G6" s="18" t="s">
        <v>260</v>
      </c>
      <c r="H6" s="18"/>
      <c r="I6" s="4"/>
      <c r="J6" s="19"/>
      <c r="K6" s="19"/>
      <c r="L6" s="18"/>
      <c r="M6" s="18" t="s">
        <v>261</v>
      </c>
      <c r="N6" s="18"/>
      <c r="O6" s="4"/>
      <c r="P6" s="4"/>
      <c r="Q6" s="376" t="str">
        <f>Geral!Q6</f>
        <v>Técnico</v>
      </c>
      <c r="R6" s="377"/>
      <c r="S6" s="338" t="s">
        <v>262</v>
      </c>
      <c r="T6" s="339"/>
      <c r="U6" s="378" t="s">
        <v>8</v>
      </c>
      <c r="V6" s="378"/>
      <c r="W6" s="51"/>
    </row>
    <row r="7" spans="1:24" s="124" customFormat="1" ht="20.100000000000001" customHeight="1" thickBot="1">
      <c r="B7" s="343"/>
      <c r="C7" s="340"/>
      <c r="D7" s="340"/>
      <c r="E7" s="340"/>
      <c r="F7" s="113" t="str">
        <f>Geral!F7</f>
        <v>Data:</v>
      </c>
      <c r="G7" s="382">
        <v>46032</v>
      </c>
      <c r="H7" s="383"/>
      <c r="I7" s="384"/>
      <c r="J7" s="125"/>
      <c r="K7" s="125"/>
      <c r="L7" s="113" t="str">
        <f>Geral!L7</f>
        <v>Campo:</v>
      </c>
      <c r="M7" s="379" t="str">
        <f>IF(Geral!M7="","",Geral!M7)</f>
        <v>JUBARTE</v>
      </c>
      <c r="N7" s="380"/>
      <c r="O7" s="381"/>
      <c r="P7" s="116"/>
      <c r="Q7" s="334" t="str">
        <f>Geral!Q7</f>
        <v>Técnico</v>
      </c>
      <c r="R7" s="335"/>
      <c r="S7" s="338" t="s">
        <v>263</v>
      </c>
      <c r="T7" s="339"/>
      <c r="U7" s="334" t="s">
        <v>8</v>
      </c>
      <c r="V7" s="335"/>
      <c r="W7" s="51"/>
    </row>
    <row r="8" spans="1:24" ht="5.0999999999999996" customHeight="1" thickBot="1">
      <c r="B8" s="344"/>
      <c r="C8" s="345"/>
      <c r="D8" s="345"/>
      <c r="E8" s="345"/>
      <c r="F8" s="345"/>
      <c r="G8" s="345"/>
      <c r="H8" s="345"/>
      <c r="I8" s="345"/>
      <c r="J8" s="345"/>
      <c r="K8" s="345"/>
      <c r="L8" s="345"/>
      <c r="M8" s="345"/>
      <c r="N8" s="345"/>
      <c r="O8" s="345"/>
      <c r="P8" s="345"/>
      <c r="Q8" s="345"/>
      <c r="R8" s="345"/>
      <c r="S8" s="345"/>
      <c r="T8" s="345"/>
      <c r="U8" s="345"/>
      <c r="V8" s="345"/>
      <c r="W8" s="354"/>
    </row>
    <row r="9" spans="1:24" s="124" customFormat="1" ht="24.95" customHeight="1" thickBot="1">
      <c r="B9" s="373" t="s">
        <v>14</v>
      </c>
      <c r="C9" s="374"/>
      <c r="D9" s="374"/>
      <c r="E9" s="374"/>
      <c r="F9" s="374"/>
      <c r="G9" s="374"/>
      <c r="H9" s="374"/>
      <c r="I9" s="374"/>
      <c r="J9" s="374"/>
      <c r="K9" s="374"/>
      <c r="L9" s="374"/>
      <c r="M9" s="374"/>
      <c r="N9" s="374"/>
      <c r="O9" s="374"/>
      <c r="P9" s="374"/>
      <c r="Q9" s="374"/>
      <c r="R9" s="374"/>
      <c r="S9" s="374"/>
      <c r="T9" s="374"/>
      <c r="U9" s="374"/>
      <c r="V9" s="374"/>
      <c r="W9" s="375"/>
    </row>
    <row r="10" spans="1:24" ht="5.0999999999999996" customHeight="1" thickBot="1">
      <c r="B10" s="344"/>
      <c r="C10" s="345"/>
      <c r="D10" s="345"/>
      <c r="E10" s="345"/>
      <c r="F10" s="345"/>
      <c r="G10" s="345"/>
      <c r="H10" s="345"/>
      <c r="I10" s="345"/>
      <c r="J10" s="345"/>
      <c r="K10" s="345"/>
      <c r="L10" s="345"/>
      <c r="M10" s="345"/>
      <c r="N10" s="345"/>
      <c r="O10" s="345"/>
      <c r="P10" s="345"/>
      <c r="Q10" s="345"/>
      <c r="R10" s="345"/>
      <c r="S10" s="345"/>
      <c r="T10" s="345"/>
      <c r="U10" s="345"/>
      <c r="V10" s="345"/>
      <c r="W10" s="345"/>
    </row>
    <row r="11" spans="1:24" ht="32.25" customHeight="1" thickBot="1">
      <c r="B11" s="123" t="s">
        <v>15</v>
      </c>
      <c r="C11" s="153" t="s">
        <v>18</v>
      </c>
      <c r="D11" s="153" t="s">
        <v>19</v>
      </c>
      <c r="E11" s="347" t="s">
        <v>20</v>
      </c>
      <c r="F11" s="348"/>
      <c r="G11" s="348"/>
      <c r="H11" s="349"/>
      <c r="I11" s="153" t="s">
        <v>264</v>
      </c>
      <c r="J11" s="151" t="s">
        <v>265</v>
      </c>
      <c r="K11" s="153" t="s">
        <v>266</v>
      </c>
      <c r="L11" s="153" t="s">
        <v>267</v>
      </c>
      <c r="M11" s="153" t="s">
        <v>268</v>
      </c>
      <c r="N11" s="347" t="s">
        <v>269</v>
      </c>
      <c r="O11" s="348"/>
      <c r="P11" s="348"/>
      <c r="Q11" s="349"/>
      <c r="R11" s="153" t="s">
        <v>25</v>
      </c>
      <c r="S11" s="151" t="s">
        <v>26</v>
      </c>
      <c r="T11" s="153" t="s">
        <v>27</v>
      </c>
      <c r="U11" s="153" t="s">
        <v>28</v>
      </c>
      <c r="V11" s="153" t="s">
        <v>29</v>
      </c>
      <c r="W11" s="153" t="s">
        <v>32</v>
      </c>
    </row>
    <row r="12" spans="1:24" s="171" customFormat="1" ht="39" customHeight="1">
      <c r="A12" s="169"/>
      <c r="B12" s="173">
        <v>1</v>
      </c>
      <c r="C12" s="214">
        <v>495022</v>
      </c>
      <c r="D12" s="223" t="s">
        <v>108</v>
      </c>
      <c r="E12" s="357" t="s">
        <v>270</v>
      </c>
      <c r="F12" s="358"/>
      <c r="G12" s="358"/>
      <c r="H12" s="359"/>
      <c r="I12" s="172" t="s">
        <v>271</v>
      </c>
      <c r="J12" s="170"/>
      <c r="K12" s="175">
        <v>46393</v>
      </c>
      <c r="L12" s="175"/>
      <c r="M12" s="175">
        <v>46395</v>
      </c>
      <c r="N12" s="360" t="s">
        <v>272</v>
      </c>
      <c r="O12" s="360"/>
      <c r="P12" s="360"/>
      <c r="Q12" s="360"/>
      <c r="R12" s="170"/>
      <c r="S12" s="170"/>
      <c r="T12" s="170"/>
      <c r="U12" s="170"/>
      <c r="V12" s="170"/>
      <c r="W12" s="172"/>
    </row>
    <row r="13" spans="1:24" s="171" customFormat="1" ht="39" customHeight="1">
      <c r="A13" s="169"/>
      <c r="B13" s="173">
        <v>2</v>
      </c>
      <c r="C13" s="214"/>
      <c r="D13" s="172" t="s">
        <v>108</v>
      </c>
      <c r="E13" s="357"/>
      <c r="F13" s="358"/>
      <c r="G13" s="358"/>
      <c r="H13" s="359"/>
      <c r="I13" s="172"/>
      <c r="J13" s="170"/>
      <c r="K13" s="175"/>
      <c r="L13" s="175"/>
      <c r="M13" s="175"/>
      <c r="N13" s="360" t="s">
        <v>272</v>
      </c>
      <c r="O13" s="360"/>
      <c r="P13" s="360"/>
      <c r="Q13" s="360"/>
      <c r="R13" s="170"/>
      <c r="S13" s="170"/>
      <c r="T13" s="170"/>
      <c r="U13" s="170"/>
      <c r="V13" s="170"/>
      <c r="W13" s="172"/>
    </row>
    <row r="14" spans="1:24" s="171" customFormat="1" ht="39" customHeight="1">
      <c r="A14" s="169"/>
      <c r="B14" s="173">
        <v>3</v>
      </c>
      <c r="C14" s="214">
        <v>432864</v>
      </c>
      <c r="D14" s="172" t="s">
        <v>248</v>
      </c>
      <c r="E14" s="357" t="s">
        <v>273</v>
      </c>
      <c r="F14" s="358"/>
      <c r="G14" s="358"/>
      <c r="H14" s="359"/>
      <c r="I14" s="172" t="s">
        <v>274</v>
      </c>
      <c r="J14" s="170" t="s">
        <v>275</v>
      </c>
      <c r="K14" s="175">
        <v>46239</v>
      </c>
      <c r="L14" s="175"/>
      <c r="M14" s="175">
        <v>46177</v>
      </c>
      <c r="N14" s="360" t="s">
        <v>272</v>
      </c>
      <c r="O14" s="360"/>
      <c r="P14" s="360"/>
      <c r="Q14" s="360"/>
      <c r="R14" s="170"/>
      <c r="S14" s="170">
        <v>325822423</v>
      </c>
      <c r="T14" s="206">
        <v>45895</v>
      </c>
      <c r="U14" s="170"/>
      <c r="V14" s="170"/>
      <c r="W14" s="172"/>
    </row>
    <row r="15" spans="1:24" s="171" customFormat="1" ht="39" customHeight="1">
      <c r="A15" s="169"/>
      <c r="B15" s="173">
        <v>4</v>
      </c>
      <c r="C15" s="214">
        <v>435631</v>
      </c>
      <c r="D15" s="172" t="s">
        <v>276</v>
      </c>
      <c r="E15" s="357" t="s">
        <v>277</v>
      </c>
      <c r="F15" s="358"/>
      <c r="G15" s="358"/>
      <c r="H15" s="359"/>
      <c r="I15" s="172" t="s">
        <v>278</v>
      </c>
      <c r="J15" s="170" t="s">
        <v>279</v>
      </c>
      <c r="K15" s="175">
        <v>46129</v>
      </c>
      <c r="L15" s="175"/>
      <c r="M15" s="175">
        <v>46129</v>
      </c>
      <c r="N15" s="360" t="s">
        <v>272</v>
      </c>
      <c r="O15" s="360"/>
      <c r="P15" s="360"/>
      <c r="Q15" s="360"/>
      <c r="R15" s="170"/>
      <c r="S15" s="170">
        <v>325822424</v>
      </c>
      <c r="T15" s="206">
        <v>45895</v>
      </c>
      <c r="U15" s="170"/>
      <c r="V15" s="170"/>
      <c r="W15" s="172"/>
    </row>
    <row r="16" spans="1:24" s="171" customFormat="1" ht="39" customHeight="1">
      <c r="A16" s="169"/>
      <c r="B16" s="173">
        <v>5</v>
      </c>
      <c r="C16" s="186">
        <v>420696</v>
      </c>
      <c r="D16" s="254" t="s">
        <v>250</v>
      </c>
      <c r="E16" s="357" t="s">
        <v>280</v>
      </c>
      <c r="F16" s="358"/>
      <c r="G16" s="358"/>
      <c r="H16" s="359"/>
      <c r="I16" s="172" t="s">
        <v>281</v>
      </c>
      <c r="J16" s="170" t="s">
        <v>282</v>
      </c>
      <c r="K16" s="175">
        <v>46147</v>
      </c>
      <c r="L16" s="175"/>
      <c r="M16" s="175">
        <v>46147</v>
      </c>
      <c r="N16" s="360" t="s">
        <v>272</v>
      </c>
      <c r="O16" s="360"/>
      <c r="P16" s="360"/>
      <c r="Q16" s="360"/>
      <c r="R16" s="170"/>
      <c r="S16" s="170">
        <v>325822423</v>
      </c>
      <c r="T16" s="206">
        <v>45895</v>
      </c>
      <c r="U16" s="170"/>
      <c r="V16" s="170"/>
      <c r="W16" s="172"/>
    </row>
    <row r="17" spans="1:23" s="171" customFormat="1" ht="39" customHeight="1">
      <c r="A17" s="169"/>
      <c r="B17" s="173">
        <v>6</v>
      </c>
      <c r="C17" s="214">
        <v>495011</v>
      </c>
      <c r="D17" s="172" t="s">
        <v>134</v>
      </c>
      <c r="E17" s="357" t="s">
        <v>283</v>
      </c>
      <c r="F17" s="358"/>
      <c r="G17" s="358"/>
      <c r="H17" s="359"/>
      <c r="I17" s="172" t="s">
        <v>284</v>
      </c>
      <c r="J17" s="172" t="s">
        <v>275</v>
      </c>
      <c r="K17" s="175">
        <v>46102</v>
      </c>
      <c r="L17" s="175"/>
      <c r="M17" s="175">
        <v>46102</v>
      </c>
      <c r="N17" s="360" t="s">
        <v>54</v>
      </c>
      <c r="O17" s="360"/>
      <c r="P17" s="360"/>
      <c r="Q17" s="360"/>
      <c r="R17" s="170"/>
      <c r="S17" s="170">
        <v>326245622</v>
      </c>
      <c r="T17" s="206">
        <v>46032</v>
      </c>
      <c r="U17" s="170"/>
      <c r="V17" s="170"/>
      <c r="W17" s="172"/>
    </row>
    <row r="18" spans="1:23" s="171" customFormat="1" ht="39" customHeight="1">
      <c r="A18" s="169"/>
      <c r="B18" s="173">
        <v>7</v>
      </c>
      <c r="C18" s="186" t="s">
        <v>34</v>
      </c>
      <c r="D18" s="172" t="s">
        <v>203</v>
      </c>
      <c r="E18" s="357" t="s">
        <v>285</v>
      </c>
      <c r="F18" s="358"/>
      <c r="G18" s="358"/>
      <c r="H18" s="359"/>
      <c r="I18" s="172" t="s">
        <v>286</v>
      </c>
      <c r="J18" s="172" t="s">
        <v>275</v>
      </c>
      <c r="K18" s="175">
        <v>46206</v>
      </c>
      <c r="L18" s="175"/>
      <c r="M18" s="175">
        <v>46207</v>
      </c>
      <c r="N18" s="360" t="s">
        <v>54</v>
      </c>
      <c r="O18" s="360"/>
      <c r="P18" s="360"/>
      <c r="Q18" s="360"/>
      <c r="R18" s="170"/>
      <c r="S18" s="170">
        <v>326245682</v>
      </c>
      <c r="T18" s="206">
        <v>46032</v>
      </c>
      <c r="U18" s="170"/>
      <c r="V18" s="170"/>
      <c r="W18" s="172"/>
    </row>
    <row r="19" spans="1:23" s="171" customFormat="1" ht="39" customHeight="1">
      <c r="A19" s="169"/>
      <c r="B19" s="173">
        <v>8</v>
      </c>
      <c r="C19" s="186" t="s">
        <v>34</v>
      </c>
      <c r="D19" s="172" t="s">
        <v>218</v>
      </c>
      <c r="E19" s="357" t="s">
        <v>287</v>
      </c>
      <c r="F19" s="358"/>
      <c r="G19" s="358"/>
      <c r="H19" s="359"/>
      <c r="I19" s="172" t="s">
        <v>288</v>
      </c>
      <c r="J19" s="172" t="s">
        <v>289</v>
      </c>
      <c r="K19" s="175">
        <v>46134</v>
      </c>
      <c r="L19" s="175"/>
      <c r="M19" s="175">
        <v>46148</v>
      </c>
      <c r="N19" s="360" t="s">
        <v>54</v>
      </c>
      <c r="O19" s="360"/>
      <c r="P19" s="360"/>
      <c r="Q19" s="360"/>
      <c r="R19" s="170"/>
      <c r="S19" s="170">
        <v>326245758</v>
      </c>
      <c r="T19" s="206">
        <v>46032</v>
      </c>
      <c r="U19" s="170"/>
      <c r="V19" s="170"/>
      <c r="W19" s="172" t="s">
        <v>290</v>
      </c>
    </row>
    <row r="20" spans="1:23" s="171" customFormat="1" ht="39" customHeight="1">
      <c r="A20" s="169"/>
      <c r="B20" s="173">
        <v>9</v>
      </c>
      <c r="C20" s="186" t="s">
        <v>34</v>
      </c>
      <c r="D20" s="211" t="s">
        <v>291</v>
      </c>
      <c r="E20" s="357" t="s">
        <v>292</v>
      </c>
      <c r="F20" s="358"/>
      <c r="G20" s="358"/>
      <c r="H20" s="359"/>
      <c r="I20" s="172" t="s">
        <v>293</v>
      </c>
      <c r="J20" s="172"/>
      <c r="K20" s="175" t="s">
        <v>294</v>
      </c>
      <c r="L20" s="175"/>
      <c r="M20" s="175" t="s">
        <v>294</v>
      </c>
      <c r="N20" s="360" t="s">
        <v>54</v>
      </c>
      <c r="O20" s="360"/>
      <c r="P20" s="360"/>
      <c r="Q20" s="360"/>
      <c r="R20" s="170"/>
      <c r="S20" s="170">
        <v>326245914</v>
      </c>
      <c r="T20" s="206">
        <v>46032</v>
      </c>
      <c r="U20" s="170"/>
      <c r="V20" s="170"/>
      <c r="W20" s="172" t="s">
        <v>295</v>
      </c>
    </row>
    <row r="21" spans="1:23" s="171" customFormat="1" ht="39" customHeight="1">
      <c r="A21" s="169"/>
      <c r="B21" s="173">
        <v>10</v>
      </c>
      <c r="C21" s="186" t="s">
        <v>34</v>
      </c>
      <c r="D21" s="172"/>
      <c r="E21" s="357" t="s">
        <v>228</v>
      </c>
      <c r="F21" s="358"/>
      <c r="G21" s="358"/>
      <c r="H21" s="359"/>
      <c r="I21" s="172" t="s">
        <v>34</v>
      </c>
      <c r="J21" s="170"/>
      <c r="K21" s="175"/>
      <c r="L21" s="175"/>
      <c r="M21" s="175">
        <v>46128</v>
      </c>
      <c r="N21" s="360" t="s">
        <v>296</v>
      </c>
      <c r="O21" s="360"/>
      <c r="P21" s="360"/>
      <c r="Q21" s="360"/>
      <c r="R21" s="170"/>
      <c r="S21" s="170"/>
      <c r="T21" s="170"/>
      <c r="U21" s="170"/>
      <c r="V21" s="170"/>
      <c r="W21" s="172" t="s">
        <v>297</v>
      </c>
    </row>
    <row r="22" spans="1:23" s="171" customFormat="1" ht="39" customHeight="1">
      <c r="A22" s="169"/>
      <c r="B22" s="173">
        <v>11</v>
      </c>
      <c r="C22" s="186" t="s">
        <v>34</v>
      </c>
      <c r="D22" s="172" t="s">
        <v>298</v>
      </c>
      <c r="E22" s="357" t="s">
        <v>299</v>
      </c>
      <c r="F22" s="358"/>
      <c r="G22" s="358"/>
      <c r="H22" s="359"/>
      <c r="I22" s="172" t="s">
        <v>300</v>
      </c>
      <c r="J22" s="170" t="s">
        <v>301</v>
      </c>
      <c r="K22" s="175">
        <v>46211</v>
      </c>
      <c r="L22" s="175"/>
      <c r="M22" s="175" t="s">
        <v>302</v>
      </c>
      <c r="N22" s="360" t="s">
        <v>54</v>
      </c>
      <c r="O22" s="360"/>
      <c r="P22" s="360"/>
      <c r="Q22" s="360"/>
      <c r="R22" s="170"/>
      <c r="S22" s="170">
        <v>326246126</v>
      </c>
      <c r="T22" s="206">
        <v>46032</v>
      </c>
      <c r="U22" s="170"/>
      <c r="V22" s="170"/>
      <c r="W22" s="201" t="s">
        <v>303</v>
      </c>
    </row>
    <row r="23" spans="1:23" s="171" customFormat="1" ht="39" customHeight="1">
      <c r="A23" s="169"/>
      <c r="B23" s="173">
        <v>12</v>
      </c>
      <c r="C23" s="215">
        <v>495047</v>
      </c>
      <c r="D23" s="188" t="s">
        <v>304</v>
      </c>
      <c r="E23" s="385" t="s">
        <v>305</v>
      </c>
      <c r="F23" s="386"/>
      <c r="G23" s="386"/>
      <c r="H23" s="387"/>
      <c r="I23" s="188" t="s">
        <v>304</v>
      </c>
      <c r="J23" s="186" t="s">
        <v>306</v>
      </c>
      <c r="K23" s="175">
        <v>46099</v>
      </c>
      <c r="M23" s="175">
        <v>46099</v>
      </c>
      <c r="N23" s="360" t="s">
        <v>54</v>
      </c>
      <c r="O23" s="360"/>
      <c r="P23" s="360"/>
      <c r="Q23" s="360"/>
      <c r="R23" s="170"/>
      <c r="S23" s="170">
        <v>326245683</v>
      </c>
      <c r="T23" s="206">
        <v>46032</v>
      </c>
      <c r="U23" s="170"/>
      <c r="V23" s="170"/>
      <c r="W23" s="201"/>
    </row>
    <row r="24" spans="1:23" s="171" customFormat="1" ht="39" customHeight="1">
      <c r="A24" s="169"/>
      <c r="B24" s="173">
        <v>13</v>
      </c>
      <c r="C24" s="186" t="s">
        <v>34</v>
      </c>
      <c r="D24" s="172" t="s">
        <v>307</v>
      </c>
      <c r="E24" s="357" t="s">
        <v>308</v>
      </c>
      <c r="F24" s="358"/>
      <c r="G24" s="358"/>
      <c r="H24" s="359"/>
      <c r="I24" s="172" t="s">
        <v>309</v>
      </c>
      <c r="J24" s="172"/>
      <c r="K24" s="175">
        <v>46359</v>
      </c>
      <c r="L24" s="175"/>
      <c r="M24" s="175">
        <v>46359</v>
      </c>
      <c r="N24" s="360" t="s">
        <v>310</v>
      </c>
      <c r="O24" s="360"/>
      <c r="P24" s="360"/>
      <c r="Q24" s="360"/>
      <c r="R24" s="170"/>
      <c r="S24" s="170">
        <v>325827284</v>
      </c>
      <c r="T24" s="206">
        <v>45897</v>
      </c>
      <c r="U24" s="170"/>
      <c r="V24" s="170"/>
      <c r="W24" s="172" t="s">
        <v>311</v>
      </c>
    </row>
    <row r="25" spans="1:23" s="171" customFormat="1" ht="39" customHeight="1">
      <c r="A25" s="169"/>
      <c r="B25" s="173">
        <v>14</v>
      </c>
      <c r="C25" s="186" t="s">
        <v>34</v>
      </c>
      <c r="D25" s="172" t="s">
        <v>238</v>
      </c>
      <c r="E25" s="357" t="s">
        <v>308</v>
      </c>
      <c r="F25" s="358"/>
      <c r="G25" s="358"/>
      <c r="H25" s="359"/>
      <c r="I25" s="172" t="s">
        <v>312</v>
      </c>
      <c r="J25" s="172" t="s">
        <v>313</v>
      </c>
      <c r="K25" s="175">
        <v>46332</v>
      </c>
      <c r="L25" s="175"/>
      <c r="M25" s="175">
        <v>46332</v>
      </c>
      <c r="N25" s="360" t="s">
        <v>54</v>
      </c>
      <c r="O25" s="360"/>
      <c r="P25" s="360"/>
      <c r="Q25" s="360"/>
      <c r="R25" s="170"/>
      <c r="S25" s="170">
        <v>326245759</v>
      </c>
      <c r="T25" s="206">
        <v>46032</v>
      </c>
      <c r="U25" s="170"/>
      <c r="V25" s="170"/>
      <c r="W25" s="172" t="s">
        <v>314</v>
      </c>
    </row>
    <row r="26" spans="1:23" s="171" customFormat="1" ht="39" customHeight="1">
      <c r="A26" s="169"/>
      <c r="B26" s="173">
        <v>15</v>
      </c>
      <c r="C26" s="186" t="s">
        <v>34</v>
      </c>
      <c r="D26" s="172" t="s">
        <v>252</v>
      </c>
      <c r="E26" s="357" t="s">
        <v>315</v>
      </c>
      <c r="F26" s="358"/>
      <c r="G26" s="358"/>
      <c r="H26" s="359"/>
      <c r="I26" s="172" t="s">
        <v>316</v>
      </c>
      <c r="J26" s="172" t="s">
        <v>317</v>
      </c>
      <c r="K26" s="175">
        <v>46225</v>
      </c>
      <c r="L26" s="175"/>
      <c r="M26" s="175">
        <v>46226</v>
      </c>
      <c r="N26" s="360" t="s">
        <v>54</v>
      </c>
      <c r="O26" s="360"/>
      <c r="P26" s="360"/>
      <c r="Q26" s="360"/>
      <c r="R26" s="170"/>
      <c r="S26" s="170">
        <v>326245912</v>
      </c>
      <c r="T26" s="206">
        <v>46032</v>
      </c>
      <c r="U26" s="170"/>
      <c r="V26" s="170"/>
      <c r="W26" s="172" t="s">
        <v>318</v>
      </c>
    </row>
    <row r="27" spans="1:23" s="171" customFormat="1" ht="39" customHeight="1">
      <c r="A27" s="169"/>
      <c r="B27" s="173">
        <v>16</v>
      </c>
      <c r="C27" s="186" t="s">
        <v>34</v>
      </c>
      <c r="D27" s="172" t="s">
        <v>319</v>
      </c>
      <c r="E27" s="357" t="s">
        <v>320</v>
      </c>
      <c r="F27" s="358"/>
      <c r="G27" s="358"/>
      <c r="H27" s="359"/>
      <c r="I27" s="172">
        <v>130500021</v>
      </c>
      <c r="J27" s="172"/>
      <c r="K27" s="175">
        <v>46248</v>
      </c>
      <c r="L27" s="175"/>
      <c r="M27" s="175">
        <v>46247</v>
      </c>
      <c r="N27" s="360" t="s">
        <v>310</v>
      </c>
      <c r="O27" s="360"/>
      <c r="P27" s="360"/>
      <c r="Q27" s="360"/>
      <c r="R27" s="170"/>
      <c r="S27" s="170"/>
      <c r="T27" s="206">
        <v>45900</v>
      </c>
      <c r="U27" s="170"/>
      <c r="V27" s="170"/>
      <c r="W27" s="211" t="s">
        <v>321</v>
      </c>
    </row>
    <row r="28" spans="1:23" s="171" customFormat="1" ht="39" customHeight="1">
      <c r="A28" s="169"/>
      <c r="B28" s="173">
        <v>17</v>
      </c>
      <c r="C28" s="186" t="s">
        <v>34</v>
      </c>
      <c r="D28" s="172" t="s">
        <v>98</v>
      </c>
      <c r="E28" s="357" t="s">
        <v>322</v>
      </c>
      <c r="F28" s="358"/>
      <c r="G28" s="358"/>
      <c r="H28" s="359"/>
      <c r="I28" s="172" t="s">
        <v>323</v>
      </c>
      <c r="J28" s="172"/>
      <c r="K28" s="175">
        <v>46155</v>
      </c>
      <c r="L28" s="175"/>
      <c r="M28" s="175">
        <v>46156</v>
      </c>
      <c r="N28" s="360" t="s">
        <v>54</v>
      </c>
      <c r="O28" s="360"/>
      <c r="P28" s="360"/>
      <c r="Q28" s="360"/>
      <c r="R28" s="170"/>
      <c r="S28" s="170">
        <v>326245763</v>
      </c>
      <c r="T28" s="206">
        <v>46032</v>
      </c>
      <c r="U28" s="170"/>
      <c r="V28" s="170"/>
      <c r="W28" s="172" t="s">
        <v>324</v>
      </c>
    </row>
    <row r="29" spans="1:23" s="171" customFormat="1" ht="39" customHeight="1">
      <c r="A29" s="169"/>
      <c r="B29" s="173">
        <v>18</v>
      </c>
      <c r="C29" s="186" t="s">
        <v>34</v>
      </c>
      <c r="D29" s="172"/>
      <c r="E29" s="357" t="s">
        <v>325</v>
      </c>
      <c r="F29" s="358"/>
      <c r="G29" s="358"/>
      <c r="H29" s="359"/>
      <c r="I29" s="253" t="s">
        <v>326</v>
      </c>
      <c r="J29" s="172"/>
      <c r="K29" s="175">
        <v>46240</v>
      </c>
      <c r="L29" s="175"/>
      <c r="M29" s="175"/>
      <c r="N29" s="360" t="s">
        <v>54</v>
      </c>
      <c r="O29" s="360"/>
      <c r="P29" s="360"/>
      <c r="Q29" s="360"/>
      <c r="R29" s="170"/>
      <c r="S29" s="170">
        <v>326245763</v>
      </c>
      <c r="T29" s="206">
        <v>46032</v>
      </c>
      <c r="U29" s="170"/>
      <c r="V29" s="170"/>
      <c r="W29" s="172" t="s">
        <v>327</v>
      </c>
    </row>
    <row r="30" spans="1:23" s="171" customFormat="1" ht="39" customHeight="1">
      <c r="A30" s="169"/>
      <c r="B30" s="173">
        <v>19</v>
      </c>
      <c r="C30" s="186" t="s">
        <v>34</v>
      </c>
      <c r="D30" s="172"/>
      <c r="E30" s="357" t="s">
        <v>328</v>
      </c>
      <c r="F30" s="358"/>
      <c r="G30" s="358"/>
      <c r="H30" s="359"/>
      <c r="I30" s="172"/>
      <c r="J30" s="172"/>
      <c r="K30" s="175"/>
      <c r="L30" s="175"/>
      <c r="M30" s="175"/>
      <c r="N30" s="361"/>
      <c r="O30" s="362"/>
      <c r="P30" s="362"/>
      <c r="Q30" s="363"/>
      <c r="R30" s="170"/>
      <c r="S30" s="170"/>
      <c r="T30" s="170"/>
      <c r="U30" s="170"/>
      <c r="V30" s="170"/>
      <c r="W30" s="170"/>
    </row>
    <row r="31" spans="1:23" s="169" customFormat="1" ht="39" customHeight="1">
      <c r="B31" s="173">
        <v>20</v>
      </c>
      <c r="C31" s="225" t="s">
        <v>34</v>
      </c>
      <c r="D31" s="191" t="s">
        <v>218</v>
      </c>
      <c r="E31" s="367" t="s">
        <v>329</v>
      </c>
      <c r="F31" s="368"/>
      <c r="G31" s="368"/>
      <c r="H31" s="369"/>
      <c r="I31" s="192">
        <v>35365</v>
      </c>
      <c r="J31" s="172"/>
      <c r="K31" s="224">
        <v>46134</v>
      </c>
      <c r="L31" s="224"/>
      <c r="M31" s="224">
        <v>46148</v>
      </c>
      <c r="N31" s="360" t="s">
        <v>54</v>
      </c>
      <c r="O31" s="360"/>
      <c r="P31" s="360"/>
      <c r="Q31" s="360"/>
      <c r="R31" s="170"/>
      <c r="S31" s="170">
        <v>326245758</v>
      </c>
      <c r="T31" s="206">
        <v>46032</v>
      </c>
      <c r="U31" s="170"/>
      <c r="V31" s="170"/>
      <c r="W31" s="201" t="s">
        <v>290</v>
      </c>
    </row>
    <row r="32" spans="1:23" s="169" customFormat="1" ht="39" customHeight="1">
      <c r="B32" s="173">
        <v>21</v>
      </c>
      <c r="C32" s="225" t="s">
        <v>34</v>
      </c>
      <c r="D32" s="191"/>
      <c r="E32" s="367" t="s">
        <v>330</v>
      </c>
      <c r="F32" s="368"/>
      <c r="G32" s="368"/>
      <c r="H32" s="369"/>
      <c r="I32" s="192"/>
      <c r="J32" s="172" t="s">
        <v>331</v>
      </c>
      <c r="K32" s="224"/>
      <c r="L32" s="224"/>
      <c r="M32" s="224"/>
      <c r="N32" s="364" t="s">
        <v>40</v>
      </c>
      <c r="O32" s="365"/>
      <c r="P32" s="365"/>
      <c r="Q32" s="366"/>
      <c r="R32" s="170"/>
      <c r="S32" s="170">
        <v>32575531</v>
      </c>
      <c r="T32" s="170" t="s">
        <v>332</v>
      </c>
      <c r="U32" s="170"/>
      <c r="V32" s="170"/>
      <c r="W32" s="170" t="s">
        <v>333</v>
      </c>
    </row>
    <row r="33" spans="1:23" s="171" customFormat="1" ht="39" customHeight="1">
      <c r="A33" s="169"/>
      <c r="B33" s="173">
        <v>22</v>
      </c>
      <c r="C33" s="213" t="s">
        <v>34</v>
      </c>
      <c r="D33" s="189"/>
      <c r="E33" s="367" t="s">
        <v>334</v>
      </c>
      <c r="F33" s="368"/>
      <c r="G33" s="368"/>
      <c r="H33" s="369"/>
      <c r="I33" s="186"/>
      <c r="J33" s="186"/>
      <c r="K33" s="175"/>
      <c r="L33" s="175"/>
      <c r="M33" s="175"/>
      <c r="N33" s="361" t="s">
        <v>40</v>
      </c>
      <c r="O33" s="362"/>
      <c r="P33" s="362"/>
      <c r="Q33" s="363"/>
      <c r="R33" s="170"/>
      <c r="S33" s="170">
        <v>32575531</v>
      </c>
      <c r="T33" s="170" t="s">
        <v>332</v>
      </c>
      <c r="U33" s="170"/>
      <c r="V33" s="170"/>
      <c r="W33" s="170" t="s">
        <v>335</v>
      </c>
    </row>
    <row r="34" spans="1:23" s="171" customFormat="1" ht="39" customHeight="1">
      <c r="A34" s="169"/>
      <c r="B34" s="173">
        <v>23</v>
      </c>
      <c r="C34" s="186" t="s">
        <v>34</v>
      </c>
      <c r="D34" s="172"/>
      <c r="E34" s="357" t="s">
        <v>336</v>
      </c>
      <c r="F34" s="358"/>
      <c r="G34" s="358"/>
      <c r="H34" s="359"/>
      <c r="I34" s="172" t="s">
        <v>337</v>
      </c>
      <c r="J34" s="172" t="s">
        <v>34</v>
      </c>
      <c r="K34" s="175">
        <v>46224</v>
      </c>
      <c r="L34" s="175"/>
      <c r="M34" s="175"/>
      <c r="N34" s="360" t="s">
        <v>296</v>
      </c>
      <c r="O34" s="360"/>
      <c r="P34" s="360"/>
      <c r="Q34" s="360"/>
      <c r="R34" s="170"/>
      <c r="S34" s="170"/>
      <c r="T34" s="170"/>
      <c r="U34" s="170"/>
      <c r="V34" s="170"/>
      <c r="W34" s="170"/>
    </row>
    <row r="35" spans="1:23" s="171" customFormat="1" ht="39" customHeight="1">
      <c r="A35" s="169"/>
      <c r="B35" s="173">
        <v>24</v>
      </c>
      <c r="C35" s="186" t="s">
        <v>34</v>
      </c>
      <c r="D35" s="172"/>
      <c r="E35" s="357" t="s">
        <v>338</v>
      </c>
      <c r="F35" s="358"/>
      <c r="G35" s="358"/>
      <c r="H35" s="359"/>
      <c r="I35" s="172"/>
      <c r="J35" s="172" t="s">
        <v>34</v>
      </c>
      <c r="K35" s="175">
        <v>46224</v>
      </c>
      <c r="L35" s="175"/>
      <c r="M35" s="175"/>
      <c r="N35" s="360" t="s">
        <v>296</v>
      </c>
      <c r="O35" s="360"/>
      <c r="P35" s="360"/>
      <c r="Q35" s="360"/>
      <c r="R35" s="170"/>
      <c r="S35" s="170"/>
      <c r="T35" s="170"/>
      <c r="U35" s="170"/>
      <c r="V35" s="170"/>
      <c r="W35" s="170"/>
    </row>
    <row r="36" spans="1:23" s="171" customFormat="1" ht="39" customHeight="1">
      <c r="A36" s="169"/>
      <c r="B36" s="173"/>
      <c r="C36" s="57"/>
      <c r="D36" s="249"/>
      <c r="E36" s="248"/>
      <c r="F36" s="248"/>
      <c r="G36" s="248"/>
      <c r="H36" s="248"/>
      <c r="I36" s="249"/>
      <c r="J36" s="249"/>
      <c r="K36" s="250"/>
      <c r="L36" s="250"/>
      <c r="M36" s="250"/>
      <c r="N36" s="182"/>
      <c r="O36" s="182"/>
      <c r="P36" s="182"/>
      <c r="Q36" s="182"/>
      <c r="R36" s="251"/>
      <c r="S36" s="251"/>
      <c r="T36" s="251"/>
      <c r="U36" s="251"/>
      <c r="V36" s="251"/>
      <c r="W36" s="252"/>
    </row>
    <row r="37" spans="1:23" s="171" customFormat="1" ht="12.75" customHeight="1">
      <c r="A37" s="169"/>
      <c r="B37" s="370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371"/>
      <c r="V37" s="371"/>
      <c r="W37" s="372"/>
    </row>
    <row r="38" spans="1:23" s="171" customFormat="1" ht="39" customHeight="1">
      <c r="A38" s="169"/>
      <c r="B38" s="173">
        <v>36</v>
      </c>
      <c r="C38" s="172" t="s">
        <v>34</v>
      </c>
      <c r="D38" s="172"/>
      <c r="E38" s="357" t="s">
        <v>339</v>
      </c>
      <c r="F38" s="358"/>
      <c r="G38" s="358"/>
      <c r="H38" s="359"/>
      <c r="I38" s="255" t="s">
        <v>340</v>
      </c>
      <c r="J38" s="172"/>
      <c r="K38" s="175" t="s">
        <v>341</v>
      </c>
      <c r="L38" s="175"/>
      <c r="M38" s="175"/>
      <c r="N38" s="360" t="s">
        <v>40</v>
      </c>
      <c r="O38" s="360"/>
      <c r="P38" s="360"/>
      <c r="Q38" s="360"/>
      <c r="R38" s="170"/>
      <c r="S38" s="170"/>
      <c r="T38" s="170"/>
      <c r="U38" s="170"/>
      <c r="V38" s="170"/>
      <c r="W38" s="172" t="s">
        <v>342</v>
      </c>
    </row>
    <row r="39" spans="1:23" s="171" customFormat="1" ht="39" customHeight="1">
      <c r="A39" s="169"/>
      <c r="B39" s="173">
        <v>37</v>
      </c>
      <c r="C39" s="172" t="s">
        <v>34</v>
      </c>
      <c r="D39" s="172"/>
      <c r="E39" s="357" t="s">
        <v>339</v>
      </c>
      <c r="F39" s="358"/>
      <c r="G39" s="358"/>
      <c r="H39" s="359"/>
      <c r="I39" s="209" t="s">
        <v>343</v>
      </c>
      <c r="J39" s="172"/>
      <c r="K39" s="175">
        <v>46217</v>
      </c>
      <c r="L39" s="175"/>
      <c r="M39" s="175"/>
      <c r="N39" s="360" t="s">
        <v>40</v>
      </c>
      <c r="O39" s="360"/>
      <c r="P39" s="360"/>
      <c r="Q39" s="360"/>
      <c r="R39" s="170"/>
      <c r="S39" s="170"/>
      <c r="T39" s="170"/>
      <c r="U39" s="170"/>
      <c r="V39" s="170"/>
      <c r="W39" s="172" t="s">
        <v>342</v>
      </c>
    </row>
    <row r="40" spans="1:23" s="171" customFormat="1" ht="39" customHeight="1">
      <c r="A40" s="169"/>
      <c r="B40" s="173">
        <v>38</v>
      </c>
      <c r="C40" s="172" t="s">
        <v>34</v>
      </c>
      <c r="D40" s="172"/>
      <c r="E40" s="357" t="s">
        <v>339</v>
      </c>
      <c r="F40" s="358"/>
      <c r="G40" s="358"/>
      <c r="H40" s="359"/>
      <c r="I40" s="209" t="s">
        <v>344</v>
      </c>
      <c r="J40" s="172"/>
      <c r="K40" s="175">
        <v>46179</v>
      </c>
      <c r="L40" s="175"/>
      <c r="M40" s="175"/>
      <c r="N40" s="360" t="s">
        <v>40</v>
      </c>
      <c r="O40" s="360"/>
      <c r="P40" s="360"/>
      <c r="Q40" s="360"/>
      <c r="R40" s="170"/>
      <c r="S40" s="170"/>
      <c r="T40" s="170"/>
      <c r="U40" s="170"/>
      <c r="V40" s="170"/>
      <c r="W40" s="172" t="s">
        <v>345</v>
      </c>
    </row>
    <row r="41" spans="1:23" s="171" customFormat="1" ht="39" customHeight="1">
      <c r="A41" s="169"/>
      <c r="B41" s="173">
        <v>39</v>
      </c>
      <c r="C41" s="172" t="s">
        <v>34</v>
      </c>
      <c r="D41" s="172"/>
      <c r="E41" s="357" t="s">
        <v>339</v>
      </c>
      <c r="F41" s="358"/>
      <c r="G41" s="358"/>
      <c r="H41" s="359"/>
      <c r="I41" s="209" t="s">
        <v>346</v>
      </c>
      <c r="J41" s="172"/>
      <c r="K41" s="175">
        <v>46179</v>
      </c>
      <c r="L41" s="175"/>
      <c r="M41" s="175"/>
      <c r="N41" s="360" t="s">
        <v>40</v>
      </c>
      <c r="O41" s="360"/>
      <c r="P41" s="360"/>
      <c r="Q41" s="360"/>
      <c r="R41" s="170"/>
      <c r="S41" s="170"/>
      <c r="T41" s="170"/>
      <c r="U41" s="170"/>
      <c r="V41" s="170"/>
      <c r="W41" s="172"/>
    </row>
    <row r="42" spans="1:23" s="171" customFormat="1" ht="39" customHeight="1">
      <c r="A42" s="169"/>
      <c r="B42" s="173">
        <v>40</v>
      </c>
      <c r="C42" s="172" t="s">
        <v>34</v>
      </c>
      <c r="D42" s="172"/>
      <c r="E42" s="357" t="s">
        <v>339</v>
      </c>
      <c r="F42" s="358"/>
      <c r="G42" s="358"/>
      <c r="H42" s="359"/>
      <c r="I42" s="209" t="s">
        <v>347</v>
      </c>
      <c r="J42" s="172"/>
      <c r="K42" s="175">
        <v>46073</v>
      </c>
      <c r="L42" s="175"/>
      <c r="M42" s="175"/>
      <c r="N42" s="360" t="s">
        <v>40</v>
      </c>
      <c r="O42" s="360"/>
      <c r="P42" s="360"/>
      <c r="Q42" s="360"/>
      <c r="R42" s="170"/>
      <c r="S42" s="170"/>
      <c r="T42" s="170"/>
      <c r="U42" s="170"/>
      <c r="V42" s="170"/>
      <c r="W42" s="172"/>
    </row>
    <row r="43" spans="1:23" s="171" customFormat="1" ht="39" customHeight="1">
      <c r="A43" s="169"/>
      <c r="B43" s="173">
        <v>41</v>
      </c>
      <c r="C43" s="172" t="s">
        <v>34</v>
      </c>
      <c r="D43" s="172"/>
      <c r="E43" s="357" t="s">
        <v>339</v>
      </c>
      <c r="F43" s="358"/>
      <c r="G43" s="358"/>
      <c r="H43" s="359"/>
      <c r="I43" s="209" t="s">
        <v>348</v>
      </c>
      <c r="J43" s="172"/>
      <c r="K43" s="175">
        <v>46217</v>
      </c>
      <c r="L43" s="175"/>
      <c r="M43" s="175"/>
      <c r="N43" s="360" t="s">
        <v>40</v>
      </c>
      <c r="O43" s="360"/>
      <c r="P43" s="360"/>
      <c r="Q43" s="360"/>
      <c r="R43" s="170"/>
      <c r="S43" s="170"/>
      <c r="T43" s="170"/>
      <c r="U43" s="170"/>
      <c r="V43" s="170"/>
      <c r="W43" s="172"/>
    </row>
    <row r="44" spans="1:23" s="171" customFormat="1" ht="39" customHeight="1">
      <c r="A44" s="169"/>
      <c r="B44" s="173">
        <v>42</v>
      </c>
      <c r="C44" s="172" t="s">
        <v>34</v>
      </c>
      <c r="D44" s="172"/>
      <c r="E44" s="357" t="s">
        <v>339</v>
      </c>
      <c r="F44" s="358"/>
      <c r="G44" s="358"/>
      <c r="H44" s="359"/>
      <c r="I44" s="209" t="s">
        <v>349</v>
      </c>
      <c r="J44" s="172"/>
      <c r="K44" s="175">
        <v>46094</v>
      </c>
      <c r="L44" s="175"/>
      <c r="M44" s="175"/>
      <c r="N44" s="360" t="s">
        <v>40</v>
      </c>
      <c r="O44" s="360"/>
      <c r="P44" s="360"/>
      <c r="Q44" s="360"/>
      <c r="R44" s="170"/>
      <c r="S44" s="170"/>
      <c r="T44" s="170"/>
      <c r="U44" s="170"/>
      <c r="V44" s="170"/>
      <c r="W44" s="172"/>
    </row>
    <row r="45" spans="1:23" s="171" customFormat="1" ht="39" customHeight="1">
      <c r="A45" s="169"/>
      <c r="B45" s="173">
        <v>43</v>
      </c>
      <c r="C45" s="172" t="s">
        <v>34</v>
      </c>
      <c r="D45" s="172"/>
      <c r="E45" s="357" t="s">
        <v>339</v>
      </c>
      <c r="F45" s="358"/>
      <c r="G45" s="358"/>
      <c r="H45" s="359"/>
      <c r="I45" s="209" t="s">
        <v>350</v>
      </c>
      <c r="J45" s="172"/>
      <c r="K45" s="175">
        <v>46224</v>
      </c>
      <c r="L45" s="175"/>
      <c r="M45" s="175"/>
      <c r="N45" s="360" t="s">
        <v>40</v>
      </c>
      <c r="O45" s="360"/>
      <c r="P45" s="360"/>
      <c r="Q45" s="360"/>
      <c r="R45" s="170"/>
      <c r="S45" s="170"/>
      <c r="T45" s="170"/>
      <c r="U45" s="170"/>
      <c r="V45" s="170"/>
      <c r="W45" s="172"/>
    </row>
    <row r="46" spans="1:23" s="171" customFormat="1" ht="39" customHeight="1">
      <c r="A46" s="169"/>
      <c r="B46" s="173">
        <v>44</v>
      </c>
      <c r="C46" s="172" t="s">
        <v>34</v>
      </c>
      <c r="D46" s="172"/>
      <c r="E46" s="357" t="s">
        <v>339</v>
      </c>
      <c r="F46" s="358"/>
      <c r="G46" s="358"/>
      <c r="H46" s="359"/>
      <c r="I46" s="209" t="s">
        <v>351</v>
      </c>
      <c r="J46" s="172"/>
      <c r="K46" s="175">
        <v>46224</v>
      </c>
      <c r="L46" s="175"/>
      <c r="M46" s="175"/>
      <c r="N46" s="360" t="s">
        <v>40</v>
      </c>
      <c r="O46" s="360"/>
      <c r="P46" s="360"/>
      <c r="Q46" s="360"/>
      <c r="R46" s="170"/>
      <c r="S46" s="170"/>
      <c r="T46" s="170"/>
      <c r="U46" s="170"/>
      <c r="V46" s="170"/>
      <c r="W46" s="172"/>
    </row>
    <row r="47" spans="1:23" s="171" customFormat="1" ht="39" customHeight="1">
      <c r="A47" s="169"/>
      <c r="B47" s="173">
        <v>45</v>
      </c>
      <c r="C47" s="172" t="s">
        <v>34</v>
      </c>
      <c r="D47" s="172"/>
      <c r="E47" s="357" t="s">
        <v>339</v>
      </c>
      <c r="F47" s="358"/>
      <c r="G47" s="358"/>
      <c r="H47" s="359"/>
      <c r="I47" s="209" t="s">
        <v>352</v>
      </c>
      <c r="J47" s="172"/>
      <c r="K47" s="175">
        <v>46179</v>
      </c>
      <c r="L47" s="175"/>
      <c r="M47" s="175"/>
      <c r="N47" s="360" t="s">
        <v>40</v>
      </c>
      <c r="O47" s="360"/>
      <c r="P47" s="360"/>
      <c r="Q47" s="360"/>
      <c r="R47" s="170"/>
      <c r="S47" s="170"/>
      <c r="T47" s="170"/>
      <c r="U47" s="170"/>
      <c r="V47" s="170"/>
      <c r="W47" s="172"/>
    </row>
    <row r="48" spans="1:23" s="171" customFormat="1" ht="39" customHeight="1">
      <c r="A48" s="169"/>
      <c r="B48" s="173">
        <v>46</v>
      </c>
      <c r="C48" s="172" t="s">
        <v>34</v>
      </c>
      <c r="D48" s="172"/>
      <c r="E48" s="357" t="s">
        <v>339</v>
      </c>
      <c r="F48" s="358"/>
      <c r="G48" s="358"/>
      <c r="H48" s="359"/>
      <c r="I48" s="209" t="s">
        <v>353</v>
      </c>
      <c r="J48" s="172"/>
      <c r="K48" s="175">
        <v>46217</v>
      </c>
      <c r="L48" s="175"/>
      <c r="M48" s="175"/>
      <c r="N48" s="360" t="s">
        <v>40</v>
      </c>
      <c r="O48" s="360"/>
      <c r="P48" s="360"/>
      <c r="Q48" s="360"/>
      <c r="R48" s="170"/>
      <c r="S48" s="170"/>
      <c r="T48" s="170"/>
      <c r="U48" s="170"/>
      <c r="V48" s="170"/>
      <c r="W48" s="172"/>
    </row>
    <row r="49" spans="1:23" s="171" customFormat="1" ht="39" customHeight="1">
      <c r="A49" s="169"/>
      <c r="B49" s="173">
        <v>47</v>
      </c>
      <c r="C49" s="172" t="s">
        <v>34</v>
      </c>
      <c r="D49" s="172"/>
      <c r="E49" s="357" t="s">
        <v>339</v>
      </c>
      <c r="F49" s="358"/>
      <c r="G49" s="358"/>
      <c r="H49" s="359"/>
      <c r="I49" s="209" t="s">
        <v>354</v>
      </c>
      <c r="J49" s="172"/>
      <c r="K49" s="175">
        <v>46094</v>
      </c>
      <c r="L49" s="175"/>
      <c r="M49" s="175"/>
      <c r="N49" s="360" t="s">
        <v>40</v>
      </c>
      <c r="O49" s="360"/>
      <c r="P49" s="360"/>
      <c r="Q49" s="360"/>
      <c r="R49" s="170"/>
      <c r="S49" s="170"/>
      <c r="T49" s="170"/>
      <c r="U49" s="170"/>
      <c r="V49" s="170"/>
      <c r="W49" s="172"/>
    </row>
    <row r="50" spans="1:23" s="171" customFormat="1" ht="39" customHeight="1">
      <c r="A50" s="169"/>
      <c r="B50" s="173">
        <v>48</v>
      </c>
      <c r="C50" s="172" t="s">
        <v>34</v>
      </c>
      <c r="D50" s="172"/>
      <c r="E50" s="357" t="s">
        <v>339</v>
      </c>
      <c r="F50" s="358"/>
      <c r="G50" s="358"/>
      <c r="H50" s="359"/>
      <c r="I50" s="209" t="s">
        <v>355</v>
      </c>
      <c r="J50" s="172"/>
      <c r="K50" s="175">
        <v>46094</v>
      </c>
      <c r="L50" s="175"/>
      <c r="M50" s="175"/>
      <c r="N50" s="360" t="s">
        <v>40</v>
      </c>
      <c r="O50" s="360"/>
      <c r="P50" s="360"/>
      <c r="Q50" s="360"/>
      <c r="R50" s="170"/>
      <c r="S50" s="170"/>
      <c r="T50" s="170"/>
      <c r="U50" s="170"/>
      <c r="V50" s="170"/>
      <c r="W50" s="172"/>
    </row>
    <row r="51" spans="1:23" s="171" customFormat="1" ht="39" customHeight="1">
      <c r="A51" s="169"/>
      <c r="B51" s="173">
        <v>49</v>
      </c>
      <c r="C51" s="172" t="s">
        <v>34</v>
      </c>
      <c r="D51" s="172"/>
      <c r="E51" s="357" t="s">
        <v>339</v>
      </c>
      <c r="F51" s="358"/>
      <c r="G51" s="358"/>
      <c r="H51" s="359"/>
      <c r="I51" s="209" t="s">
        <v>356</v>
      </c>
      <c r="J51" s="172"/>
      <c r="K51" s="175">
        <v>46224</v>
      </c>
      <c r="L51" s="175"/>
      <c r="M51" s="175"/>
      <c r="N51" s="360" t="s">
        <v>40</v>
      </c>
      <c r="O51" s="360"/>
      <c r="P51" s="360"/>
      <c r="Q51" s="360"/>
      <c r="R51" s="170"/>
      <c r="S51" s="170"/>
      <c r="T51" s="170"/>
      <c r="U51" s="170"/>
      <c r="V51" s="170"/>
      <c r="W51" s="172"/>
    </row>
    <row r="52" spans="1:23" s="171" customFormat="1" ht="39" customHeight="1">
      <c r="A52" s="169"/>
      <c r="B52" s="173">
        <v>50</v>
      </c>
      <c r="C52" s="172" t="s">
        <v>34</v>
      </c>
      <c r="D52" s="172"/>
      <c r="E52" s="357" t="s">
        <v>339</v>
      </c>
      <c r="F52" s="358"/>
      <c r="G52" s="358"/>
      <c r="H52" s="359"/>
      <c r="I52" s="209" t="s">
        <v>357</v>
      </c>
      <c r="J52" s="172"/>
      <c r="K52" s="175">
        <v>46094</v>
      </c>
      <c r="L52" s="175"/>
      <c r="M52" s="175"/>
      <c r="N52" s="360" t="s">
        <v>40</v>
      </c>
      <c r="O52" s="360"/>
      <c r="P52" s="360"/>
      <c r="Q52" s="360"/>
      <c r="R52" s="170"/>
      <c r="S52" s="170"/>
      <c r="T52" s="170"/>
      <c r="U52" s="170"/>
      <c r="V52" s="170"/>
      <c r="W52" s="172"/>
    </row>
    <row r="53" spans="1:23" s="171" customFormat="1" ht="39" customHeight="1">
      <c r="A53" s="169"/>
      <c r="B53" s="173">
        <v>51</v>
      </c>
      <c r="C53" s="172" t="s">
        <v>34</v>
      </c>
      <c r="D53" s="172"/>
      <c r="E53" s="357" t="s">
        <v>339</v>
      </c>
      <c r="F53" s="358"/>
      <c r="G53" s="358"/>
      <c r="H53" s="359"/>
      <c r="I53" s="209" t="s">
        <v>358</v>
      </c>
      <c r="J53" s="172"/>
      <c r="K53" s="175">
        <v>46217</v>
      </c>
      <c r="L53" s="175"/>
      <c r="M53" s="175"/>
      <c r="N53" s="360" t="s">
        <v>40</v>
      </c>
      <c r="O53" s="360"/>
      <c r="P53" s="360"/>
      <c r="Q53" s="360"/>
      <c r="R53" s="170"/>
      <c r="S53" s="170"/>
      <c r="T53" s="170"/>
      <c r="U53" s="170"/>
      <c r="V53" s="170"/>
      <c r="W53" s="172"/>
    </row>
    <row r="54" spans="1:23" s="171" customFormat="1" ht="39" customHeight="1">
      <c r="A54" s="169"/>
      <c r="B54" s="173">
        <v>52</v>
      </c>
      <c r="C54" s="172" t="s">
        <v>34</v>
      </c>
      <c r="D54" s="172"/>
      <c r="E54" s="357" t="s">
        <v>339</v>
      </c>
      <c r="F54" s="358"/>
      <c r="G54" s="358"/>
      <c r="H54" s="359"/>
      <c r="I54" s="209" t="s">
        <v>359</v>
      </c>
      <c r="J54" s="172"/>
      <c r="K54" s="175">
        <v>46217</v>
      </c>
      <c r="L54" s="175"/>
      <c r="M54" s="175"/>
      <c r="N54" s="360" t="s">
        <v>40</v>
      </c>
      <c r="O54" s="360"/>
      <c r="P54" s="360"/>
      <c r="Q54" s="360"/>
      <c r="R54" s="170"/>
      <c r="S54" s="170"/>
      <c r="T54" s="170"/>
      <c r="U54" s="170"/>
      <c r="V54" s="170"/>
      <c r="W54" s="172"/>
    </row>
    <row r="55" spans="1:23" s="171" customFormat="1" ht="39" customHeight="1">
      <c r="A55" s="169"/>
      <c r="B55" s="173">
        <v>53</v>
      </c>
      <c r="C55" s="172" t="s">
        <v>34</v>
      </c>
      <c r="D55" s="172"/>
      <c r="E55" s="357" t="s">
        <v>339</v>
      </c>
      <c r="F55" s="358"/>
      <c r="G55" s="358"/>
      <c r="H55" s="359"/>
      <c r="I55" s="209" t="s">
        <v>360</v>
      </c>
      <c r="J55" s="172"/>
      <c r="K55" s="175">
        <v>46217</v>
      </c>
      <c r="L55" s="175"/>
      <c r="M55" s="175"/>
      <c r="N55" s="360" t="s">
        <v>40</v>
      </c>
      <c r="O55" s="360"/>
      <c r="P55" s="360"/>
      <c r="Q55" s="360"/>
      <c r="R55" s="170"/>
      <c r="S55" s="170"/>
      <c r="T55" s="170"/>
      <c r="U55" s="170"/>
      <c r="V55" s="170"/>
      <c r="W55" s="172"/>
    </row>
    <row r="56" spans="1:23" s="171" customFormat="1" ht="39" customHeight="1">
      <c r="A56" s="169"/>
      <c r="B56" s="173">
        <v>54</v>
      </c>
      <c r="C56" s="172" t="s">
        <v>34</v>
      </c>
      <c r="D56" s="172"/>
      <c r="E56" s="357" t="s">
        <v>339</v>
      </c>
      <c r="F56" s="358"/>
      <c r="G56" s="358"/>
      <c r="H56" s="359"/>
      <c r="I56" s="209" t="s">
        <v>361</v>
      </c>
      <c r="J56" s="172"/>
      <c r="K56" s="175">
        <v>46176</v>
      </c>
      <c r="L56" s="175"/>
      <c r="M56" s="175"/>
      <c r="N56" s="360" t="s">
        <v>40</v>
      </c>
      <c r="O56" s="360"/>
      <c r="P56" s="360"/>
      <c r="Q56" s="360"/>
      <c r="R56" s="170"/>
      <c r="S56" s="170"/>
      <c r="T56" s="170"/>
      <c r="U56" s="170"/>
      <c r="V56" s="170"/>
      <c r="W56" s="172"/>
    </row>
    <row r="57" spans="1:23" s="171" customFormat="1" ht="39" customHeight="1">
      <c r="A57" s="169"/>
      <c r="B57" s="173">
        <v>55</v>
      </c>
      <c r="C57" s="172" t="s">
        <v>34</v>
      </c>
      <c r="D57" s="172"/>
      <c r="E57" s="357" t="s">
        <v>339</v>
      </c>
      <c r="F57" s="358"/>
      <c r="G57" s="358"/>
      <c r="H57" s="359"/>
      <c r="I57" s="209" t="s">
        <v>362</v>
      </c>
      <c r="J57" s="172"/>
      <c r="K57" s="175">
        <v>46224</v>
      </c>
      <c r="L57" s="175"/>
      <c r="M57" s="175"/>
      <c r="N57" s="360" t="s">
        <v>40</v>
      </c>
      <c r="O57" s="360"/>
      <c r="P57" s="360"/>
      <c r="Q57" s="360"/>
      <c r="R57" s="170"/>
      <c r="S57" s="170"/>
      <c r="T57" s="170"/>
      <c r="U57" s="170"/>
      <c r="V57" s="170"/>
      <c r="W57" s="172"/>
    </row>
    <row r="58" spans="1:23" s="171" customFormat="1" ht="39" customHeight="1">
      <c r="A58" s="169"/>
      <c r="B58" s="173">
        <v>56</v>
      </c>
      <c r="C58" s="172" t="s">
        <v>34</v>
      </c>
      <c r="D58" s="172"/>
      <c r="E58" s="357" t="s">
        <v>339</v>
      </c>
      <c r="F58" s="358"/>
      <c r="G58" s="358"/>
      <c r="H58" s="359"/>
      <c r="I58" s="209" t="s">
        <v>363</v>
      </c>
      <c r="J58" s="172"/>
      <c r="K58" s="175">
        <v>46217</v>
      </c>
      <c r="L58" s="175"/>
      <c r="M58" s="175"/>
      <c r="N58" s="360" t="s">
        <v>40</v>
      </c>
      <c r="O58" s="360"/>
      <c r="P58" s="360"/>
      <c r="Q58" s="360"/>
      <c r="R58" s="170"/>
      <c r="S58" s="170"/>
      <c r="T58" s="170"/>
      <c r="U58" s="170"/>
      <c r="V58" s="170"/>
      <c r="W58" s="172"/>
    </row>
    <row r="59" spans="1:23" s="171" customFormat="1" ht="39" customHeight="1">
      <c r="A59" s="169"/>
      <c r="B59" s="173">
        <v>57</v>
      </c>
      <c r="C59" s="172" t="s">
        <v>34</v>
      </c>
      <c r="D59" s="172"/>
      <c r="E59" s="357" t="s">
        <v>339</v>
      </c>
      <c r="F59" s="358"/>
      <c r="G59" s="358"/>
      <c r="H59" s="359"/>
      <c r="I59" s="209" t="s">
        <v>364</v>
      </c>
      <c r="J59" s="172"/>
      <c r="K59" s="175">
        <v>46094</v>
      </c>
      <c r="L59" s="175"/>
      <c r="M59" s="175"/>
      <c r="N59" s="360" t="s">
        <v>40</v>
      </c>
      <c r="O59" s="360"/>
      <c r="P59" s="360"/>
      <c r="Q59" s="360"/>
      <c r="R59" s="170"/>
      <c r="S59" s="170"/>
      <c r="T59" s="170"/>
      <c r="U59" s="170"/>
      <c r="V59" s="170"/>
      <c r="W59" s="172"/>
    </row>
    <row r="60" spans="1:23" s="171" customFormat="1" ht="39" customHeight="1">
      <c r="A60" s="169"/>
      <c r="B60" s="173">
        <v>58</v>
      </c>
      <c r="C60" s="172" t="s">
        <v>34</v>
      </c>
      <c r="D60" s="172"/>
      <c r="E60" s="357" t="s">
        <v>339</v>
      </c>
      <c r="F60" s="358"/>
      <c r="G60" s="358"/>
      <c r="H60" s="359"/>
      <c r="I60" s="209" t="s">
        <v>365</v>
      </c>
      <c r="J60" s="172"/>
      <c r="K60" s="175">
        <v>46217</v>
      </c>
      <c r="L60" s="175"/>
      <c r="M60" s="175"/>
      <c r="N60" s="360" t="s">
        <v>40</v>
      </c>
      <c r="O60" s="360"/>
      <c r="P60" s="360"/>
      <c r="Q60" s="360"/>
      <c r="R60" s="170"/>
      <c r="S60" s="170"/>
      <c r="T60" s="170"/>
      <c r="U60" s="170"/>
      <c r="V60" s="170"/>
      <c r="W60" s="172"/>
    </row>
    <row r="61" spans="1:23" s="171" customFormat="1" ht="39" customHeight="1">
      <c r="A61" s="169"/>
      <c r="B61" s="173">
        <v>59</v>
      </c>
      <c r="C61" s="172" t="s">
        <v>34</v>
      </c>
      <c r="D61" s="172"/>
      <c r="E61" s="357" t="s">
        <v>339</v>
      </c>
      <c r="F61" s="358"/>
      <c r="G61" s="358"/>
      <c r="H61" s="359"/>
      <c r="I61" s="209" t="s">
        <v>366</v>
      </c>
      <c r="J61" s="172"/>
      <c r="K61" s="175">
        <v>46094</v>
      </c>
      <c r="L61" s="175"/>
      <c r="M61" s="175"/>
      <c r="N61" s="360" t="s">
        <v>40</v>
      </c>
      <c r="O61" s="360"/>
      <c r="P61" s="360"/>
      <c r="Q61" s="360"/>
      <c r="R61" s="170"/>
      <c r="S61" s="170"/>
      <c r="T61" s="170"/>
      <c r="U61" s="170"/>
      <c r="V61" s="170"/>
      <c r="W61" s="172"/>
    </row>
    <row r="62" spans="1:23" s="171" customFormat="1" ht="39" customHeight="1">
      <c r="A62" s="169"/>
      <c r="B62" s="173">
        <v>60</v>
      </c>
      <c r="C62" s="172" t="s">
        <v>34</v>
      </c>
      <c r="D62" s="172"/>
      <c r="E62" s="357" t="s">
        <v>339</v>
      </c>
      <c r="F62" s="358"/>
      <c r="G62" s="358"/>
      <c r="H62" s="359"/>
      <c r="I62" s="209" t="s">
        <v>367</v>
      </c>
      <c r="J62" s="172"/>
      <c r="K62" s="175">
        <v>46049</v>
      </c>
      <c r="L62" s="175"/>
      <c r="M62" s="175"/>
      <c r="N62" s="360" t="s">
        <v>40</v>
      </c>
      <c r="O62" s="360"/>
      <c r="P62" s="360"/>
      <c r="Q62" s="360"/>
      <c r="R62" s="170"/>
      <c r="S62" s="170"/>
      <c r="T62" s="170"/>
      <c r="U62" s="170"/>
      <c r="V62" s="170"/>
      <c r="W62" s="172"/>
    </row>
    <row r="63" spans="1:23" s="171" customFormat="1" ht="39" customHeight="1">
      <c r="A63" s="169"/>
      <c r="B63" s="173">
        <v>61</v>
      </c>
      <c r="C63" s="172" t="s">
        <v>34</v>
      </c>
      <c r="D63" s="172"/>
      <c r="E63" s="357" t="s">
        <v>339</v>
      </c>
      <c r="F63" s="358"/>
      <c r="G63" s="358"/>
      <c r="H63" s="359"/>
      <c r="I63" s="209" t="s">
        <v>368</v>
      </c>
      <c r="J63" s="172"/>
      <c r="K63" s="175">
        <v>46049</v>
      </c>
      <c r="L63" s="175"/>
      <c r="M63" s="175"/>
      <c r="N63" s="360" t="s">
        <v>40</v>
      </c>
      <c r="O63" s="360"/>
      <c r="P63" s="360"/>
      <c r="Q63" s="360"/>
      <c r="R63" s="170"/>
      <c r="S63" s="170"/>
      <c r="T63" s="170"/>
      <c r="U63" s="170"/>
      <c r="V63" s="170"/>
      <c r="W63" s="172"/>
    </row>
    <row r="64" spans="1:23" s="171" customFormat="1" ht="39" customHeight="1">
      <c r="A64" s="169"/>
      <c r="B64" s="173">
        <v>62</v>
      </c>
      <c r="C64" s="172" t="s">
        <v>34</v>
      </c>
      <c r="D64" s="172"/>
      <c r="E64" s="357" t="s">
        <v>339</v>
      </c>
      <c r="F64" s="358"/>
      <c r="G64" s="358"/>
      <c r="H64" s="359"/>
      <c r="I64" s="209" t="s">
        <v>369</v>
      </c>
      <c r="J64" s="172"/>
      <c r="K64" s="175">
        <v>46217</v>
      </c>
      <c r="L64" s="175"/>
      <c r="M64" s="175"/>
      <c r="N64" s="360" t="s">
        <v>40</v>
      </c>
      <c r="O64" s="360"/>
      <c r="P64" s="360"/>
      <c r="Q64" s="360"/>
      <c r="R64" s="170"/>
      <c r="S64" s="170"/>
      <c r="T64" s="170"/>
      <c r="U64" s="170"/>
      <c r="V64" s="170"/>
      <c r="W64" s="172"/>
    </row>
    <row r="65" spans="1:23" s="171" customFormat="1" ht="39" customHeight="1">
      <c r="A65" s="169"/>
      <c r="B65" s="173">
        <v>63</v>
      </c>
      <c r="C65" s="172" t="s">
        <v>34</v>
      </c>
      <c r="D65" s="172"/>
      <c r="E65" s="357" t="s">
        <v>339</v>
      </c>
      <c r="F65" s="358"/>
      <c r="G65" s="358"/>
      <c r="H65" s="359"/>
      <c r="I65" s="209" t="s">
        <v>370</v>
      </c>
      <c r="J65" s="172"/>
      <c r="K65" s="175">
        <v>46217</v>
      </c>
      <c r="L65" s="175"/>
      <c r="M65" s="175"/>
      <c r="N65" s="360" t="s">
        <v>40</v>
      </c>
      <c r="O65" s="360"/>
      <c r="P65" s="360"/>
      <c r="Q65" s="360"/>
      <c r="R65" s="170"/>
      <c r="S65" s="170"/>
      <c r="T65" s="170"/>
      <c r="U65" s="170"/>
      <c r="V65" s="170"/>
      <c r="W65" s="172"/>
    </row>
    <row r="66" spans="1:23" s="171" customFormat="1" ht="39" customHeight="1">
      <c r="A66" s="169"/>
      <c r="B66" s="173">
        <v>64</v>
      </c>
      <c r="C66" s="172" t="s">
        <v>34</v>
      </c>
      <c r="D66" s="172"/>
      <c r="E66" s="357" t="s">
        <v>339</v>
      </c>
      <c r="F66" s="358"/>
      <c r="G66" s="358"/>
      <c r="H66" s="359"/>
      <c r="I66" s="209" t="s">
        <v>371</v>
      </c>
      <c r="J66" s="172"/>
      <c r="K66" s="175">
        <v>46179</v>
      </c>
      <c r="L66" s="175"/>
      <c r="M66" s="175"/>
      <c r="N66" s="360" t="s">
        <v>40</v>
      </c>
      <c r="O66" s="360"/>
      <c r="P66" s="360"/>
      <c r="Q66" s="360"/>
      <c r="R66" s="170"/>
      <c r="S66" s="170"/>
      <c r="T66" s="170"/>
      <c r="U66" s="170"/>
      <c r="V66" s="170"/>
      <c r="W66" s="172"/>
    </row>
    <row r="67" spans="1:23" s="171" customFormat="1" ht="39" customHeight="1">
      <c r="A67" s="169"/>
      <c r="B67" s="173">
        <v>65</v>
      </c>
      <c r="C67" s="172" t="s">
        <v>34</v>
      </c>
      <c r="D67" s="172"/>
      <c r="E67" s="357" t="s">
        <v>339</v>
      </c>
      <c r="F67" s="358"/>
      <c r="G67" s="358"/>
      <c r="H67" s="359"/>
      <c r="I67" s="209" t="s">
        <v>372</v>
      </c>
      <c r="J67" s="172"/>
      <c r="K67" s="175">
        <v>46217</v>
      </c>
      <c r="L67" s="175"/>
      <c r="M67" s="175"/>
      <c r="N67" s="360" t="s">
        <v>40</v>
      </c>
      <c r="O67" s="360"/>
      <c r="P67" s="360"/>
      <c r="Q67" s="360"/>
      <c r="R67" s="170"/>
      <c r="S67" s="170"/>
      <c r="T67" s="170"/>
      <c r="U67" s="170"/>
      <c r="V67" s="170"/>
      <c r="W67" s="172"/>
    </row>
    <row r="68" spans="1:23" s="171" customFormat="1" ht="39" customHeight="1">
      <c r="A68" s="169"/>
      <c r="B68" s="173">
        <v>66</v>
      </c>
      <c r="C68" s="172" t="s">
        <v>34</v>
      </c>
      <c r="D68" s="172"/>
      <c r="E68" s="357" t="s">
        <v>339</v>
      </c>
      <c r="F68" s="358"/>
      <c r="G68" s="358"/>
      <c r="H68" s="359"/>
      <c r="I68" s="209" t="s">
        <v>373</v>
      </c>
      <c r="J68" s="172"/>
      <c r="K68" s="175">
        <v>46219</v>
      </c>
      <c r="L68" s="175"/>
      <c r="M68" s="175"/>
      <c r="N68" s="360" t="s">
        <v>40</v>
      </c>
      <c r="O68" s="360"/>
      <c r="P68" s="360"/>
      <c r="Q68" s="360"/>
      <c r="R68" s="170"/>
      <c r="S68" s="170"/>
      <c r="T68" s="170"/>
      <c r="U68" s="170"/>
      <c r="V68" s="170"/>
      <c r="W68" s="172"/>
    </row>
    <row r="69" spans="1:23" s="171" customFormat="1" ht="39" customHeight="1">
      <c r="A69" s="169"/>
      <c r="B69" s="173">
        <v>67</v>
      </c>
      <c r="C69" s="172" t="s">
        <v>34</v>
      </c>
      <c r="D69" s="172"/>
      <c r="E69" s="357" t="s">
        <v>339</v>
      </c>
      <c r="F69" s="358"/>
      <c r="G69" s="358"/>
      <c r="H69" s="359"/>
      <c r="I69" s="209" t="s">
        <v>374</v>
      </c>
      <c r="J69" s="172"/>
      <c r="K69" s="175">
        <v>46157</v>
      </c>
      <c r="L69" s="175"/>
      <c r="M69" s="175"/>
      <c r="N69" s="360" t="s">
        <v>40</v>
      </c>
      <c r="O69" s="360"/>
      <c r="P69" s="360"/>
      <c r="Q69" s="360"/>
      <c r="R69" s="170"/>
      <c r="S69" s="170"/>
      <c r="T69" s="170"/>
      <c r="U69" s="170"/>
      <c r="V69" s="170"/>
      <c r="W69" s="172"/>
    </row>
    <row r="70" spans="1:23" s="171" customFormat="1" ht="39" customHeight="1">
      <c r="A70" s="169"/>
      <c r="B70" s="173">
        <v>68</v>
      </c>
      <c r="C70" s="172" t="s">
        <v>34</v>
      </c>
      <c r="D70" s="172"/>
      <c r="E70" s="357" t="s">
        <v>339</v>
      </c>
      <c r="F70" s="358"/>
      <c r="G70" s="358"/>
      <c r="H70" s="359"/>
      <c r="I70" s="209" t="s">
        <v>375</v>
      </c>
      <c r="J70" s="172"/>
      <c r="K70" s="175" t="s">
        <v>376</v>
      </c>
      <c r="L70" s="175"/>
      <c r="M70" s="175"/>
      <c r="N70" s="360" t="s">
        <v>40</v>
      </c>
      <c r="O70" s="360"/>
      <c r="P70" s="360"/>
      <c r="Q70" s="360"/>
      <c r="R70" s="170"/>
      <c r="S70" s="170"/>
      <c r="T70" s="170"/>
      <c r="U70" s="170"/>
      <c r="V70" s="170"/>
      <c r="W70" s="172"/>
    </row>
    <row r="71" spans="1:23" s="171" customFormat="1" ht="39" customHeight="1">
      <c r="A71" s="169"/>
      <c r="B71" s="173">
        <v>69</v>
      </c>
      <c r="C71" s="172" t="s">
        <v>34</v>
      </c>
      <c r="D71" s="172"/>
      <c r="E71" s="357" t="s">
        <v>339</v>
      </c>
      <c r="F71" s="358"/>
      <c r="G71" s="358"/>
      <c r="H71" s="359"/>
      <c r="I71" s="209" t="s">
        <v>377</v>
      </c>
      <c r="J71" s="172"/>
      <c r="K71" s="175">
        <v>46217</v>
      </c>
      <c r="L71" s="175"/>
      <c r="M71" s="175"/>
      <c r="N71" s="360" t="s">
        <v>40</v>
      </c>
      <c r="O71" s="360"/>
      <c r="P71" s="360"/>
      <c r="Q71" s="360"/>
      <c r="R71" s="170"/>
      <c r="S71" s="170"/>
      <c r="T71" s="170"/>
      <c r="U71" s="170"/>
      <c r="V71" s="170"/>
      <c r="W71" s="172"/>
    </row>
    <row r="72" spans="1:23" s="171" customFormat="1" ht="39" customHeight="1">
      <c r="A72" s="169"/>
      <c r="B72" s="173">
        <v>70</v>
      </c>
      <c r="C72" s="172" t="s">
        <v>34</v>
      </c>
      <c r="D72" s="172"/>
      <c r="E72" s="357" t="s">
        <v>339</v>
      </c>
      <c r="F72" s="358"/>
      <c r="G72" s="358"/>
      <c r="H72" s="359"/>
      <c r="I72" s="209" t="s">
        <v>378</v>
      </c>
      <c r="J72" s="172"/>
      <c r="K72" s="175">
        <v>46217</v>
      </c>
      <c r="L72" s="175"/>
      <c r="M72" s="175"/>
      <c r="N72" s="360" t="s">
        <v>40</v>
      </c>
      <c r="O72" s="360"/>
      <c r="P72" s="360"/>
      <c r="Q72" s="360"/>
      <c r="R72" s="170"/>
      <c r="S72" s="170"/>
      <c r="T72" s="170"/>
      <c r="U72" s="170"/>
      <c r="V72" s="170"/>
      <c r="W72" s="172"/>
    </row>
    <row r="73" spans="1:23" s="171" customFormat="1" ht="39" customHeight="1">
      <c r="A73" s="169"/>
      <c r="B73" s="173">
        <v>71</v>
      </c>
      <c r="C73" s="172" t="s">
        <v>34</v>
      </c>
      <c r="D73" s="172"/>
      <c r="E73" s="357" t="s">
        <v>339</v>
      </c>
      <c r="F73" s="358"/>
      <c r="G73" s="358"/>
      <c r="H73" s="359"/>
      <c r="I73" s="209" t="s">
        <v>379</v>
      </c>
      <c r="J73" s="172"/>
      <c r="K73" s="175">
        <v>46217</v>
      </c>
      <c r="L73" s="175"/>
      <c r="M73" s="175"/>
      <c r="N73" s="360" t="s">
        <v>40</v>
      </c>
      <c r="O73" s="360"/>
      <c r="P73" s="360"/>
      <c r="Q73" s="360"/>
      <c r="R73" s="170"/>
      <c r="S73" s="170"/>
      <c r="T73" s="170"/>
      <c r="U73" s="170"/>
      <c r="V73" s="170"/>
      <c r="W73" s="172"/>
    </row>
    <row r="74" spans="1:23" s="171" customFormat="1" ht="39" customHeight="1">
      <c r="A74" s="169"/>
      <c r="B74" s="173">
        <v>72</v>
      </c>
      <c r="C74" s="172" t="s">
        <v>34</v>
      </c>
      <c r="D74" s="172"/>
      <c r="E74" s="357" t="s">
        <v>339</v>
      </c>
      <c r="F74" s="358"/>
      <c r="G74" s="358"/>
      <c r="H74" s="359"/>
      <c r="I74" s="209" t="s">
        <v>380</v>
      </c>
      <c r="J74" s="172"/>
      <c r="K74" s="175">
        <v>46217</v>
      </c>
      <c r="L74" s="175"/>
      <c r="M74" s="175"/>
      <c r="N74" s="360" t="s">
        <v>40</v>
      </c>
      <c r="O74" s="360"/>
      <c r="P74" s="360"/>
      <c r="Q74" s="360"/>
      <c r="R74" s="170"/>
      <c r="S74" s="170"/>
      <c r="T74" s="170"/>
      <c r="U74" s="170"/>
      <c r="V74" s="170"/>
      <c r="W74" s="172"/>
    </row>
    <row r="75" spans="1:23" s="171" customFormat="1" ht="39" customHeight="1">
      <c r="A75" s="169"/>
      <c r="B75" s="173">
        <v>73</v>
      </c>
      <c r="C75" s="172" t="s">
        <v>34</v>
      </c>
      <c r="D75" s="172"/>
      <c r="E75" s="357" t="s">
        <v>339</v>
      </c>
      <c r="F75" s="358"/>
      <c r="G75" s="358"/>
      <c r="H75" s="359"/>
      <c r="I75" s="209" t="s">
        <v>381</v>
      </c>
      <c r="J75" s="172"/>
      <c r="K75" s="175">
        <v>46157</v>
      </c>
      <c r="L75" s="175"/>
      <c r="M75" s="175"/>
      <c r="N75" s="360" t="s">
        <v>40</v>
      </c>
      <c r="O75" s="360"/>
      <c r="P75" s="360"/>
      <c r="Q75" s="360"/>
      <c r="R75" s="170"/>
      <c r="S75" s="170"/>
      <c r="T75" s="170"/>
      <c r="U75" s="170"/>
      <c r="V75" s="170"/>
      <c r="W75" s="172"/>
    </row>
    <row r="76" spans="1:23" s="171" customFormat="1" ht="39" customHeight="1">
      <c r="A76" s="169"/>
      <c r="B76" s="173">
        <v>74</v>
      </c>
      <c r="C76" s="172" t="s">
        <v>34</v>
      </c>
      <c r="D76" s="172"/>
      <c r="E76" s="357" t="s">
        <v>339</v>
      </c>
      <c r="F76" s="358"/>
      <c r="G76" s="358"/>
      <c r="H76" s="359"/>
      <c r="I76" s="209"/>
      <c r="J76" s="172"/>
      <c r="K76" s="175">
        <v>46157</v>
      </c>
      <c r="L76" s="175"/>
      <c r="M76" s="175"/>
      <c r="N76" s="360" t="s">
        <v>54</v>
      </c>
      <c r="O76" s="360"/>
      <c r="P76" s="360"/>
      <c r="Q76" s="360"/>
      <c r="R76" s="170"/>
      <c r="S76" s="170">
        <v>326246477</v>
      </c>
      <c r="T76" s="206">
        <v>46032</v>
      </c>
      <c r="U76" s="170"/>
      <c r="V76" s="170"/>
      <c r="W76" s="172"/>
    </row>
    <row r="77" spans="1:23" s="171" customFormat="1" ht="39" customHeight="1">
      <c r="A77" s="169"/>
      <c r="B77" s="173">
        <v>75</v>
      </c>
      <c r="C77" s="172" t="s">
        <v>34</v>
      </c>
      <c r="D77" s="172"/>
      <c r="E77" s="357" t="s">
        <v>339</v>
      </c>
      <c r="F77" s="358"/>
      <c r="G77" s="358"/>
      <c r="H77" s="359"/>
      <c r="I77" s="209"/>
      <c r="J77" s="172"/>
      <c r="K77" s="175">
        <v>46157</v>
      </c>
      <c r="L77" s="175"/>
      <c r="M77" s="175"/>
      <c r="N77" s="360" t="s">
        <v>40</v>
      </c>
      <c r="O77" s="360"/>
      <c r="P77" s="360"/>
      <c r="Q77" s="360"/>
      <c r="R77" s="170"/>
      <c r="S77" s="170"/>
      <c r="T77" s="170"/>
      <c r="U77" s="170"/>
      <c r="V77" s="170"/>
      <c r="W77" s="172"/>
    </row>
    <row r="78" spans="1:23" s="171" customFormat="1" ht="39" customHeight="1">
      <c r="A78" s="169"/>
      <c r="B78" s="173">
        <v>76</v>
      </c>
      <c r="C78" s="172" t="s">
        <v>34</v>
      </c>
      <c r="D78" s="172"/>
      <c r="E78" s="357" t="s">
        <v>339</v>
      </c>
      <c r="F78" s="358"/>
      <c r="G78" s="358"/>
      <c r="H78" s="359"/>
      <c r="I78" s="209"/>
      <c r="J78" s="172"/>
      <c r="K78" s="175">
        <v>46217</v>
      </c>
      <c r="L78" s="175"/>
      <c r="M78" s="175"/>
      <c r="N78" s="360" t="s">
        <v>54</v>
      </c>
      <c r="O78" s="360"/>
      <c r="P78" s="360"/>
      <c r="Q78" s="360"/>
      <c r="R78" s="170"/>
      <c r="S78" s="170">
        <v>326246477</v>
      </c>
      <c r="T78" s="206">
        <v>46032</v>
      </c>
      <c r="U78" s="170"/>
      <c r="V78" s="170"/>
      <c r="W78" s="172"/>
    </row>
    <row r="79" spans="1:23" s="171" customFormat="1" ht="39" customHeight="1">
      <c r="A79" s="169"/>
      <c r="B79" s="173">
        <v>77</v>
      </c>
      <c r="C79" s="172" t="s">
        <v>34</v>
      </c>
      <c r="D79" s="172"/>
      <c r="E79" s="357" t="s">
        <v>339</v>
      </c>
      <c r="F79" s="358"/>
      <c r="G79" s="358"/>
      <c r="H79" s="359"/>
      <c r="I79" s="209"/>
      <c r="J79" s="172"/>
      <c r="K79" s="175">
        <v>46179</v>
      </c>
      <c r="L79" s="175"/>
      <c r="M79" s="175"/>
      <c r="N79" s="360" t="s">
        <v>40</v>
      </c>
      <c r="O79" s="360"/>
      <c r="P79" s="360"/>
      <c r="Q79" s="360"/>
      <c r="R79" s="170"/>
      <c r="S79" s="170"/>
      <c r="T79" s="170"/>
      <c r="U79" s="170"/>
      <c r="V79" s="170"/>
      <c r="W79" s="172"/>
    </row>
    <row r="80" spans="1:23" s="171" customFormat="1" ht="39" customHeight="1">
      <c r="A80" s="169"/>
      <c r="B80" s="173">
        <v>78</v>
      </c>
      <c r="C80" s="172" t="s">
        <v>34</v>
      </c>
      <c r="D80" s="172"/>
      <c r="E80" s="357" t="s">
        <v>339</v>
      </c>
      <c r="F80" s="358"/>
      <c r="G80" s="358"/>
      <c r="H80" s="359"/>
      <c r="I80" s="209"/>
      <c r="J80" s="172"/>
      <c r="K80" s="175">
        <v>46094</v>
      </c>
      <c r="L80" s="175"/>
      <c r="M80" s="175"/>
      <c r="N80" s="360" t="s">
        <v>40</v>
      </c>
      <c r="O80" s="360"/>
      <c r="P80" s="360"/>
      <c r="Q80" s="360"/>
      <c r="R80" s="170"/>
      <c r="S80" s="170"/>
      <c r="T80" s="170"/>
      <c r="U80" s="170"/>
      <c r="V80" s="170"/>
      <c r="W80" s="172"/>
    </row>
    <row r="81" spans="1:23" s="171" customFormat="1" ht="39" customHeight="1">
      <c r="A81" s="169"/>
      <c r="B81" s="173">
        <v>79</v>
      </c>
      <c r="C81" s="172" t="s">
        <v>34</v>
      </c>
      <c r="D81" s="172"/>
      <c r="E81" s="357" t="s">
        <v>339</v>
      </c>
      <c r="F81" s="358"/>
      <c r="G81" s="358"/>
      <c r="H81" s="359"/>
      <c r="I81" s="209"/>
      <c r="J81" s="172"/>
      <c r="K81" s="175">
        <v>46094</v>
      </c>
      <c r="L81" s="175"/>
      <c r="M81" s="175"/>
      <c r="N81" s="360" t="s">
        <v>40</v>
      </c>
      <c r="O81" s="360"/>
      <c r="P81" s="360"/>
      <c r="Q81" s="360"/>
      <c r="R81" s="170"/>
      <c r="S81" s="170"/>
      <c r="T81" s="170"/>
      <c r="U81" s="170"/>
      <c r="V81" s="170"/>
      <c r="W81" s="172"/>
    </row>
    <row r="82" spans="1:23" s="171" customFormat="1" ht="39" customHeight="1">
      <c r="A82" s="169"/>
      <c r="B82" s="173">
        <v>80</v>
      </c>
      <c r="C82" s="172" t="s">
        <v>34</v>
      </c>
      <c r="D82" s="172"/>
      <c r="E82" s="357" t="s">
        <v>339</v>
      </c>
      <c r="F82" s="358"/>
      <c r="G82" s="358"/>
      <c r="H82" s="359"/>
      <c r="I82" s="209"/>
      <c r="J82" s="172"/>
      <c r="K82" s="175">
        <v>46073</v>
      </c>
      <c r="L82" s="175"/>
      <c r="M82" s="175"/>
      <c r="N82" s="360" t="s">
        <v>40</v>
      </c>
      <c r="O82" s="360"/>
      <c r="P82" s="360"/>
      <c r="Q82" s="360"/>
      <c r="R82" s="170"/>
      <c r="S82" s="170"/>
      <c r="T82" s="170"/>
      <c r="U82" s="170"/>
      <c r="V82" s="170"/>
      <c r="W82" s="172"/>
    </row>
    <row r="83" spans="1:23" s="171" customFormat="1" ht="39" customHeight="1">
      <c r="A83" s="169"/>
      <c r="B83" s="173">
        <v>81</v>
      </c>
      <c r="C83" s="172" t="s">
        <v>34</v>
      </c>
      <c r="D83" s="172"/>
      <c r="E83" s="357" t="s">
        <v>339</v>
      </c>
      <c r="F83" s="358"/>
      <c r="G83" s="358"/>
      <c r="H83" s="359"/>
      <c r="I83" s="209"/>
      <c r="J83" s="172"/>
      <c r="K83" s="175">
        <v>46049</v>
      </c>
      <c r="L83" s="175"/>
      <c r="M83" s="175"/>
      <c r="N83" s="360" t="s">
        <v>40</v>
      </c>
      <c r="O83" s="360"/>
      <c r="P83" s="360"/>
      <c r="Q83" s="360"/>
      <c r="R83" s="170"/>
      <c r="S83" s="170"/>
      <c r="T83" s="170"/>
      <c r="U83" s="170"/>
      <c r="V83" s="170"/>
      <c r="W83" s="172"/>
    </row>
    <row r="84" spans="1:23" s="171" customFormat="1" ht="39" customHeight="1">
      <c r="A84" s="169"/>
      <c r="B84" s="173">
        <v>82</v>
      </c>
      <c r="C84" s="172" t="s">
        <v>34</v>
      </c>
      <c r="D84" s="172"/>
      <c r="E84" s="357" t="s">
        <v>339</v>
      </c>
      <c r="F84" s="358"/>
      <c r="G84" s="358"/>
      <c r="H84" s="359"/>
      <c r="I84" s="209"/>
      <c r="J84" s="172"/>
      <c r="K84" s="175">
        <v>46094</v>
      </c>
      <c r="L84" s="175"/>
      <c r="M84" s="175"/>
      <c r="N84" s="360" t="s">
        <v>40</v>
      </c>
      <c r="O84" s="360"/>
      <c r="P84" s="360"/>
      <c r="Q84" s="360"/>
      <c r="R84" s="170"/>
      <c r="S84" s="170"/>
      <c r="T84" s="170"/>
      <c r="U84" s="170"/>
      <c r="V84" s="170"/>
      <c r="W84" s="172"/>
    </row>
    <row r="85" spans="1:23" s="171" customFormat="1" ht="39" customHeight="1">
      <c r="A85" s="169"/>
      <c r="B85" s="173">
        <v>83</v>
      </c>
      <c r="C85" s="172" t="s">
        <v>34</v>
      </c>
      <c r="D85" s="172"/>
      <c r="E85" s="357" t="s">
        <v>339</v>
      </c>
      <c r="F85" s="358"/>
      <c r="G85" s="358"/>
      <c r="H85" s="359"/>
      <c r="I85" s="209"/>
      <c r="J85" s="172"/>
      <c r="K85" s="175">
        <v>46157</v>
      </c>
      <c r="L85" s="175"/>
      <c r="M85" s="175"/>
      <c r="N85" s="360" t="s">
        <v>40</v>
      </c>
      <c r="O85" s="360"/>
      <c r="P85" s="360"/>
      <c r="Q85" s="360"/>
      <c r="R85" s="170"/>
      <c r="S85" s="170"/>
      <c r="T85" s="170"/>
      <c r="U85" s="170"/>
      <c r="V85" s="170"/>
      <c r="W85" s="172"/>
    </row>
    <row r="86" spans="1:23" s="171" customFormat="1" ht="39" customHeight="1">
      <c r="A86" s="169"/>
      <c r="B86" s="173">
        <v>84</v>
      </c>
      <c r="C86" s="172" t="s">
        <v>34</v>
      </c>
      <c r="D86" s="172"/>
      <c r="E86" s="357" t="s">
        <v>339</v>
      </c>
      <c r="F86" s="358"/>
      <c r="G86" s="358"/>
      <c r="H86" s="359"/>
      <c r="I86" s="209"/>
      <c r="J86" s="172"/>
      <c r="K86" s="175">
        <v>46217</v>
      </c>
      <c r="L86" s="175"/>
      <c r="M86" s="175"/>
      <c r="N86" s="360" t="s">
        <v>40</v>
      </c>
      <c r="O86" s="360"/>
      <c r="P86" s="360"/>
      <c r="Q86" s="360"/>
      <c r="R86" s="170"/>
      <c r="S86" s="170"/>
      <c r="T86" s="170"/>
      <c r="U86" s="170"/>
      <c r="V86" s="170"/>
      <c r="W86" s="172"/>
    </row>
    <row r="87" spans="1:23" s="171" customFormat="1" ht="39" customHeight="1">
      <c r="A87" s="169"/>
      <c r="B87" s="173">
        <v>85</v>
      </c>
      <c r="C87" s="172" t="s">
        <v>34</v>
      </c>
      <c r="D87" s="172"/>
      <c r="E87" s="357" t="s">
        <v>339</v>
      </c>
      <c r="F87" s="358"/>
      <c r="G87" s="358"/>
      <c r="H87" s="359"/>
      <c r="I87" s="209"/>
      <c r="J87" s="172"/>
      <c r="K87" s="175">
        <v>46217</v>
      </c>
      <c r="L87" s="175"/>
      <c r="M87" s="175"/>
      <c r="N87" s="360" t="s">
        <v>40</v>
      </c>
      <c r="O87" s="360"/>
      <c r="P87" s="360"/>
      <c r="Q87" s="360"/>
      <c r="R87" s="170"/>
      <c r="S87" s="170"/>
      <c r="T87" s="170"/>
      <c r="U87" s="170"/>
      <c r="V87" s="170"/>
      <c r="W87" s="172"/>
    </row>
    <row r="88" spans="1:23" s="171" customFormat="1" ht="39" customHeight="1">
      <c r="A88" s="169"/>
      <c r="B88" s="173">
        <v>86</v>
      </c>
      <c r="C88" s="172" t="s">
        <v>34</v>
      </c>
      <c r="D88" s="172"/>
      <c r="E88" s="357" t="s">
        <v>339</v>
      </c>
      <c r="F88" s="358"/>
      <c r="G88" s="358"/>
      <c r="H88" s="359"/>
      <c r="I88" s="209"/>
      <c r="J88" s="172"/>
      <c r="K88" s="175">
        <v>46217</v>
      </c>
      <c r="L88" s="175"/>
      <c r="M88" s="175"/>
      <c r="N88" s="360" t="s">
        <v>40</v>
      </c>
      <c r="O88" s="360"/>
      <c r="P88" s="360"/>
      <c r="Q88" s="360"/>
      <c r="R88" s="170"/>
      <c r="S88" s="170"/>
      <c r="T88" s="170"/>
      <c r="U88" s="170"/>
      <c r="V88" s="170"/>
      <c r="W88" s="172"/>
    </row>
    <row r="89" spans="1:23" s="171" customFormat="1" ht="39" customHeight="1">
      <c r="A89" s="169"/>
      <c r="B89" s="173">
        <v>87</v>
      </c>
      <c r="C89" s="172" t="s">
        <v>34</v>
      </c>
      <c r="D89" s="172"/>
      <c r="E89" s="357" t="s">
        <v>339</v>
      </c>
      <c r="F89" s="358"/>
      <c r="G89" s="358"/>
      <c r="H89" s="359"/>
      <c r="I89" s="209"/>
      <c r="J89" s="172"/>
      <c r="K89" s="175">
        <v>46217</v>
      </c>
      <c r="L89" s="175"/>
      <c r="M89" s="175"/>
      <c r="N89" s="360" t="s">
        <v>40</v>
      </c>
      <c r="O89" s="360"/>
      <c r="P89" s="360"/>
      <c r="Q89" s="360"/>
      <c r="R89" s="170"/>
      <c r="S89" s="170"/>
      <c r="T89" s="170"/>
      <c r="U89" s="170"/>
      <c r="V89" s="170"/>
      <c r="W89" s="172"/>
    </row>
    <row r="90" spans="1:23" s="171" customFormat="1" ht="39" customHeight="1">
      <c r="A90" s="169"/>
      <c r="B90" s="173">
        <v>88</v>
      </c>
      <c r="C90" s="172" t="s">
        <v>34</v>
      </c>
      <c r="D90" s="172"/>
      <c r="E90" s="357" t="s">
        <v>339</v>
      </c>
      <c r="F90" s="358"/>
      <c r="G90" s="358"/>
      <c r="H90" s="359"/>
      <c r="I90" s="209"/>
      <c r="J90" s="172"/>
      <c r="K90" s="175">
        <v>46217</v>
      </c>
      <c r="L90" s="175"/>
      <c r="M90" s="175"/>
      <c r="N90" s="360" t="s">
        <v>40</v>
      </c>
      <c r="O90" s="360"/>
      <c r="P90" s="360"/>
      <c r="Q90" s="360"/>
      <c r="R90" s="170"/>
      <c r="S90" s="170"/>
      <c r="T90" s="170"/>
      <c r="U90" s="170"/>
      <c r="V90" s="170"/>
      <c r="W90" s="172"/>
    </row>
    <row r="91" spans="1:23" s="171" customFormat="1" ht="39" customHeight="1">
      <c r="A91" s="169"/>
      <c r="B91" s="173">
        <v>89</v>
      </c>
      <c r="C91" s="172" t="s">
        <v>34</v>
      </c>
      <c r="D91" s="172"/>
      <c r="E91" s="357" t="s">
        <v>339</v>
      </c>
      <c r="F91" s="358"/>
      <c r="G91" s="358"/>
      <c r="H91" s="359"/>
      <c r="I91" s="209"/>
      <c r="J91" s="172"/>
      <c r="K91" s="175">
        <v>46213</v>
      </c>
      <c r="L91" s="175"/>
      <c r="M91" s="175"/>
      <c r="N91" s="360" t="s">
        <v>40</v>
      </c>
      <c r="O91" s="360"/>
      <c r="P91" s="360"/>
      <c r="Q91" s="360"/>
      <c r="R91" s="170"/>
      <c r="S91" s="170"/>
      <c r="T91" s="170"/>
      <c r="U91" s="170"/>
      <c r="V91" s="170"/>
      <c r="W91" s="172"/>
    </row>
    <row r="92" spans="1:23" s="171" customFormat="1" ht="39" customHeight="1">
      <c r="A92" s="169"/>
      <c r="B92" s="173">
        <v>90</v>
      </c>
      <c r="C92" s="172" t="s">
        <v>34</v>
      </c>
      <c r="D92" s="172"/>
      <c r="E92" s="357" t="s">
        <v>339</v>
      </c>
      <c r="F92" s="358"/>
      <c r="G92" s="358"/>
      <c r="H92" s="359"/>
      <c r="I92" s="209"/>
      <c r="J92" s="172"/>
      <c r="K92" s="175">
        <v>46217</v>
      </c>
      <c r="L92" s="175"/>
      <c r="M92" s="175"/>
      <c r="N92" s="360" t="s">
        <v>40</v>
      </c>
      <c r="O92" s="360"/>
      <c r="P92" s="360"/>
      <c r="Q92" s="360"/>
      <c r="R92" s="170"/>
      <c r="S92" s="170"/>
      <c r="T92" s="170"/>
      <c r="U92" s="170"/>
      <c r="V92" s="170"/>
      <c r="W92" s="172"/>
    </row>
    <row r="93" spans="1:23" s="171" customFormat="1" ht="39" customHeight="1">
      <c r="A93" s="169"/>
      <c r="B93" s="173">
        <v>91</v>
      </c>
      <c r="C93" s="172" t="s">
        <v>34</v>
      </c>
      <c r="D93" s="172"/>
      <c r="E93" s="357" t="s">
        <v>339</v>
      </c>
      <c r="F93" s="358"/>
      <c r="G93" s="358"/>
      <c r="H93" s="359"/>
      <c r="J93" s="172"/>
      <c r="K93" s="175">
        <v>46217</v>
      </c>
      <c r="L93" s="175"/>
      <c r="M93" s="175"/>
      <c r="N93" s="360" t="s">
        <v>40</v>
      </c>
      <c r="O93" s="360"/>
      <c r="P93" s="360"/>
      <c r="Q93" s="360"/>
      <c r="R93" s="170"/>
      <c r="S93" s="170"/>
      <c r="T93" s="170"/>
      <c r="U93" s="170"/>
      <c r="V93" s="170"/>
      <c r="W93" s="172"/>
    </row>
    <row r="94" spans="1:23" s="171" customFormat="1" ht="39" customHeight="1">
      <c r="A94" s="169"/>
      <c r="B94" s="173">
        <v>92</v>
      </c>
      <c r="C94" s="172" t="s">
        <v>34</v>
      </c>
      <c r="D94" s="172"/>
      <c r="E94" s="357" t="s">
        <v>339</v>
      </c>
      <c r="F94" s="358"/>
      <c r="G94" s="358"/>
      <c r="H94" s="359"/>
      <c r="I94" s="209"/>
      <c r="J94" s="172"/>
      <c r="K94" s="175">
        <v>46224</v>
      </c>
      <c r="L94" s="175"/>
      <c r="M94" s="175"/>
      <c r="N94" s="360" t="s">
        <v>40</v>
      </c>
      <c r="O94" s="360"/>
      <c r="P94" s="360"/>
      <c r="Q94" s="360"/>
      <c r="R94" s="170"/>
      <c r="S94" s="170"/>
      <c r="T94" s="170"/>
      <c r="U94" s="170"/>
      <c r="V94" s="170"/>
      <c r="W94" s="172"/>
    </row>
    <row r="95" spans="1:23" s="171" customFormat="1" ht="39" customHeight="1">
      <c r="A95" s="169"/>
      <c r="B95" s="173">
        <v>93</v>
      </c>
      <c r="C95" s="172" t="s">
        <v>34</v>
      </c>
      <c r="D95" s="172"/>
      <c r="E95" s="357" t="s">
        <v>339</v>
      </c>
      <c r="F95" s="358"/>
      <c r="G95" s="358"/>
      <c r="H95" s="359"/>
      <c r="I95" s="209"/>
      <c r="J95" s="172"/>
      <c r="K95" s="175">
        <v>46224</v>
      </c>
      <c r="L95" s="175"/>
      <c r="M95" s="175"/>
      <c r="N95" s="360" t="s">
        <v>40</v>
      </c>
      <c r="O95" s="360"/>
      <c r="P95" s="360"/>
      <c r="Q95" s="360"/>
      <c r="R95" s="170"/>
      <c r="S95" s="170"/>
      <c r="T95" s="170"/>
      <c r="U95" s="170"/>
      <c r="V95" s="170"/>
      <c r="W95" s="172"/>
    </row>
    <row r="96" spans="1:23" s="171" customFormat="1" ht="30" customHeight="1">
      <c r="A96" s="169"/>
      <c r="B96" s="173">
        <v>94</v>
      </c>
      <c r="C96" s="172" t="s">
        <v>34</v>
      </c>
      <c r="D96" s="172"/>
      <c r="E96" s="357" t="s">
        <v>339</v>
      </c>
      <c r="F96" s="358"/>
      <c r="G96" s="358"/>
      <c r="H96" s="359"/>
      <c r="I96" s="209"/>
      <c r="J96" s="172"/>
      <c r="K96" s="175" t="s">
        <v>382</v>
      </c>
      <c r="L96" s="175"/>
      <c r="M96" s="175"/>
      <c r="N96" s="360" t="s">
        <v>40</v>
      </c>
      <c r="O96" s="360"/>
      <c r="P96" s="360"/>
      <c r="Q96" s="360"/>
      <c r="R96" s="170"/>
      <c r="S96" s="170"/>
      <c r="T96" s="170"/>
      <c r="U96" s="170"/>
      <c r="V96" s="170"/>
      <c r="W96" s="172"/>
    </row>
    <row r="97" spans="1:25" s="124" customFormat="1" ht="30" customHeight="1">
      <c r="A97" s="169"/>
      <c r="B97" s="173">
        <v>95</v>
      </c>
      <c r="C97" s="172" t="s">
        <v>34</v>
      </c>
      <c r="D97" s="172"/>
      <c r="E97" s="357" t="s">
        <v>339</v>
      </c>
      <c r="F97" s="358"/>
      <c r="G97" s="358"/>
      <c r="H97" s="359"/>
      <c r="I97" s="209"/>
      <c r="J97" s="172"/>
      <c r="K97" s="175" t="s">
        <v>383</v>
      </c>
      <c r="L97" s="175"/>
      <c r="M97" s="175"/>
      <c r="N97" s="360" t="s">
        <v>40</v>
      </c>
      <c r="O97" s="360"/>
      <c r="P97" s="360"/>
      <c r="Q97" s="360"/>
      <c r="R97" s="170"/>
      <c r="S97" s="170"/>
      <c r="T97" s="170"/>
      <c r="U97" s="170"/>
      <c r="V97" s="170"/>
      <c r="W97" s="172"/>
      <c r="X97" s="171"/>
      <c r="Y97" s="171"/>
    </row>
    <row r="98" spans="1:25" s="124" customFormat="1" ht="33.75" customHeight="1">
      <c r="A98" s="169"/>
      <c r="B98" s="173">
        <v>96</v>
      </c>
      <c r="C98" s="172" t="s">
        <v>34</v>
      </c>
      <c r="D98" s="172"/>
      <c r="E98" s="357" t="s">
        <v>339</v>
      </c>
      <c r="F98" s="358"/>
      <c r="G98" s="358"/>
      <c r="H98" s="359"/>
      <c r="I98" s="209"/>
      <c r="J98" s="172"/>
      <c r="K98" s="175" t="s">
        <v>384</v>
      </c>
      <c r="L98" s="175"/>
      <c r="M98" s="175"/>
      <c r="N98" s="361" t="s">
        <v>40</v>
      </c>
      <c r="O98" s="362"/>
      <c r="P98" s="362"/>
      <c r="Q98" s="363"/>
      <c r="R98" s="170"/>
      <c r="S98" s="170"/>
      <c r="T98" s="170"/>
      <c r="U98" s="170"/>
      <c r="V98" s="170"/>
      <c r="W98" s="172"/>
      <c r="X98" s="171"/>
      <c r="Y98" s="171"/>
    </row>
    <row r="99" spans="1:25" s="124" customFormat="1" ht="30" customHeight="1">
      <c r="A99" s="169"/>
      <c r="B99" s="173">
        <v>97</v>
      </c>
      <c r="C99" s="172" t="s">
        <v>34</v>
      </c>
      <c r="D99" s="172"/>
      <c r="E99" s="357" t="s">
        <v>339</v>
      </c>
      <c r="F99" s="358"/>
      <c r="G99" s="358"/>
      <c r="H99" s="359"/>
      <c r="I99" s="209"/>
      <c r="J99" s="172"/>
      <c r="K99" s="175">
        <v>46955</v>
      </c>
      <c r="L99" s="175"/>
      <c r="M99" s="175"/>
      <c r="N99" s="361" t="s">
        <v>40</v>
      </c>
      <c r="O99" s="362"/>
      <c r="P99" s="362"/>
      <c r="Q99" s="363"/>
      <c r="R99" s="170"/>
      <c r="S99" s="170"/>
      <c r="T99" s="170"/>
      <c r="U99" s="170"/>
      <c r="V99" s="170"/>
      <c r="W99" s="172"/>
      <c r="X99" s="171"/>
      <c r="Y99" s="171"/>
    </row>
    <row r="100" spans="1:25" s="124" customFormat="1" ht="30" customHeight="1">
      <c r="A100" s="169"/>
      <c r="B100" s="173">
        <v>98</v>
      </c>
      <c r="C100" s="172" t="s">
        <v>34</v>
      </c>
      <c r="D100" s="172"/>
      <c r="E100" s="357" t="s">
        <v>339</v>
      </c>
      <c r="F100" s="358"/>
      <c r="G100" s="358"/>
      <c r="H100" s="359"/>
      <c r="I100" s="209"/>
      <c r="J100" s="172"/>
      <c r="K100" s="175">
        <v>46094</v>
      </c>
      <c r="L100" s="175"/>
      <c r="M100" s="175"/>
      <c r="N100" s="181"/>
      <c r="O100" s="182"/>
      <c r="P100" s="182"/>
      <c r="Q100" s="183"/>
      <c r="R100" s="170"/>
      <c r="S100" s="170"/>
      <c r="T100" s="170"/>
      <c r="U100" s="170"/>
      <c r="V100" s="170"/>
      <c r="W100" s="172"/>
      <c r="X100" s="171"/>
      <c r="Y100" s="171"/>
    </row>
    <row r="101" spans="1:25" s="124" customFormat="1" ht="30" customHeight="1">
      <c r="A101" s="169"/>
      <c r="B101" s="173">
        <v>98</v>
      </c>
      <c r="C101" s="172" t="s">
        <v>34</v>
      </c>
      <c r="D101" s="172"/>
      <c r="E101" s="357" t="s">
        <v>339</v>
      </c>
      <c r="F101" s="358"/>
      <c r="G101" s="358"/>
      <c r="H101" s="359"/>
      <c r="I101" s="209"/>
      <c r="J101" s="172"/>
      <c r="K101" s="175">
        <v>46219</v>
      </c>
      <c r="L101" s="175"/>
      <c r="M101" s="175"/>
      <c r="N101" s="181"/>
      <c r="O101" s="182"/>
      <c r="P101" s="182"/>
      <c r="Q101" s="183"/>
      <c r="R101" s="170"/>
      <c r="S101" s="170"/>
      <c r="T101" s="170"/>
      <c r="U101" s="170"/>
      <c r="V101" s="170"/>
      <c r="W101" s="172"/>
      <c r="X101" s="171"/>
      <c r="Y101" s="171"/>
    </row>
    <row r="102" spans="1:25" s="124" customFormat="1" ht="30" customHeight="1">
      <c r="A102" s="169"/>
      <c r="B102" s="173">
        <v>98</v>
      </c>
      <c r="C102" s="172" t="s">
        <v>34</v>
      </c>
      <c r="D102" s="172"/>
      <c r="E102" s="357" t="s">
        <v>339</v>
      </c>
      <c r="F102" s="358"/>
      <c r="G102" s="358"/>
      <c r="H102" s="359"/>
      <c r="I102" s="209"/>
      <c r="J102" s="172"/>
      <c r="K102" s="175">
        <v>46219</v>
      </c>
      <c r="L102" s="175"/>
      <c r="M102" s="175"/>
      <c r="N102" s="181"/>
      <c r="O102" s="182"/>
      <c r="P102" s="182"/>
      <c r="Q102" s="183"/>
      <c r="R102" s="170"/>
      <c r="S102" s="170"/>
      <c r="T102" s="170"/>
      <c r="U102" s="170"/>
      <c r="V102" s="170"/>
      <c r="W102" s="172"/>
      <c r="X102" s="171"/>
      <c r="Y102" s="171"/>
    </row>
    <row r="103" spans="1:25" s="124" customFormat="1" ht="30" customHeight="1">
      <c r="A103" s="169"/>
      <c r="B103" s="173">
        <v>98</v>
      </c>
      <c r="C103" s="172" t="s">
        <v>34</v>
      </c>
      <c r="D103" s="172"/>
      <c r="E103" s="357" t="s">
        <v>339</v>
      </c>
      <c r="F103" s="358"/>
      <c r="G103" s="358"/>
      <c r="H103" s="359"/>
      <c r="I103" s="209"/>
      <c r="J103" s="172"/>
      <c r="K103" s="175">
        <v>46219</v>
      </c>
      <c r="L103" s="175"/>
      <c r="M103" s="175"/>
      <c r="N103" s="181"/>
      <c r="O103" s="182"/>
      <c r="P103" s="182"/>
      <c r="Q103" s="183"/>
      <c r="R103" s="170"/>
      <c r="S103" s="170"/>
      <c r="T103" s="170"/>
      <c r="U103" s="170"/>
      <c r="V103" s="170"/>
      <c r="W103" s="172"/>
      <c r="X103" s="171"/>
      <c r="Y103" s="171"/>
    </row>
    <row r="104" spans="1:25" s="124" customFormat="1" ht="30" customHeight="1">
      <c r="A104" s="169"/>
      <c r="B104" s="173">
        <v>98</v>
      </c>
      <c r="C104" s="172" t="s">
        <v>34</v>
      </c>
      <c r="D104" s="172"/>
      <c r="E104" s="357" t="s">
        <v>339</v>
      </c>
      <c r="F104" s="358"/>
      <c r="G104" s="358"/>
      <c r="H104" s="359"/>
      <c r="I104" s="209"/>
      <c r="J104" s="172"/>
      <c r="K104" s="175">
        <v>46345</v>
      </c>
      <c r="L104" s="175"/>
      <c r="M104" s="175"/>
      <c r="N104" s="181"/>
      <c r="O104" s="182"/>
      <c r="P104" s="182"/>
      <c r="Q104" s="183"/>
      <c r="R104" s="170"/>
      <c r="S104" s="170"/>
      <c r="T104" s="170"/>
      <c r="U104" s="170"/>
      <c r="V104" s="170"/>
      <c r="W104" s="172"/>
      <c r="X104" s="171"/>
      <c r="Y104" s="171"/>
    </row>
    <row r="105" spans="1:25" s="124" customFormat="1" ht="30" customHeight="1">
      <c r="A105" s="169"/>
      <c r="B105" s="173">
        <v>99</v>
      </c>
      <c r="C105" s="172" t="s">
        <v>34</v>
      </c>
      <c r="D105" s="172" t="s">
        <v>179</v>
      </c>
      <c r="E105" s="357" t="s">
        <v>385</v>
      </c>
      <c r="F105" s="358"/>
      <c r="G105" s="358"/>
      <c r="H105" s="359"/>
      <c r="I105" s="209" t="s">
        <v>386</v>
      </c>
      <c r="J105" s="172"/>
      <c r="K105" s="175">
        <v>46158</v>
      </c>
      <c r="L105" s="175"/>
      <c r="M105" s="175">
        <v>46158</v>
      </c>
      <c r="N105" s="360" t="s">
        <v>54</v>
      </c>
      <c r="O105" s="360"/>
      <c r="P105" s="360"/>
      <c r="Q105" s="360"/>
      <c r="R105" s="170"/>
      <c r="S105" s="170">
        <v>326245755</v>
      </c>
      <c r="T105" s="206">
        <v>46032</v>
      </c>
      <c r="U105" s="170"/>
      <c r="V105" s="170"/>
      <c r="W105" s="172"/>
      <c r="X105" s="171"/>
      <c r="Y105" s="171"/>
    </row>
    <row r="106" spans="1:25" s="124" customFormat="1" ht="30" customHeight="1">
      <c r="A106" s="169"/>
      <c r="B106" s="173">
        <v>100</v>
      </c>
      <c r="C106" s="172" t="s">
        <v>34</v>
      </c>
      <c r="D106" s="172" t="s">
        <v>387</v>
      </c>
      <c r="E106" s="357" t="s">
        <v>388</v>
      </c>
      <c r="F106" s="358"/>
      <c r="G106" s="358"/>
      <c r="H106" s="359"/>
      <c r="I106" s="209" t="s">
        <v>312</v>
      </c>
      <c r="J106" s="172"/>
      <c r="K106" s="175">
        <v>46332</v>
      </c>
      <c r="L106" s="175"/>
      <c r="M106" s="175"/>
      <c r="N106" s="360" t="s">
        <v>40</v>
      </c>
      <c r="O106" s="360"/>
      <c r="P106" s="360"/>
      <c r="Q106" s="360"/>
      <c r="R106" s="170"/>
      <c r="S106" s="170"/>
      <c r="T106" s="170"/>
      <c r="U106" s="170"/>
      <c r="V106" s="170"/>
      <c r="W106" s="172"/>
      <c r="X106" s="171"/>
      <c r="Y106" s="171"/>
    </row>
    <row r="107" spans="1:25" s="124" customFormat="1" ht="30" customHeight="1">
      <c r="A107" s="169"/>
      <c r="B107" s="173">
        <v>101</v>
      </c>
      <c r="C107" s="172" t="s">
        <v>34</v>
      </c>
      <c r="D107" s="172" t="s">
        <v>389</v>
      </c>
      <c r="E107" s="357" t="s">
        <v>320</v>
      </c>
      <c r="F107" s="358"/>
      <c r="G107" s="358"/>
      <c r="H107" s="359"/>
      <c r="I107" s="209" t="s">
        <v>390</v>
      </c>
      <c r="J107" s="172"/>
      <c r="K107" s="175">
        <v>46351</v>
      </c>
      <c r="L107" s="175"/>
      <c r="M107" s="175">
        <v>46351</v>
      </c>
      <c r="N107" s="360" t="s">
        <v>54</v>
      </c>
      <c r="O107" s="360"/>
      <c r="P107" s="360"/>
      <c r="Q107" s="360"/>
      <c r="R107" s="170"/>
      <c r="S107" s="170">
        <v>326247561</v>
      </c>
      <c r="T107" s="206">
        <v>46032</v>
      </c>
      <c r="U107" s="170"/>
      <c r="V107" s="170"/>
      <c r="W107" s="172"/>
      <c r="X107" s="171"/>
      <c r="Y107" s="171"/>
    </row>
    <row r="108" spans="1:25" ht="15.75">
      <c r="B108" s="173">
        <v>102</v>
      </c>
      <c r="C108" s="172" t="s">
        <v>34</v>
      </c>
      <c r="D108" s="172" t="s">
        <v>391</v>
      </c>
      <c r="E108" s="357" t="s">
        <v>392</v>
      </c>
      <c r="F108" s="358"/>
      <c r="G108" s="358"/>
      <c r="H108" s="359"/>
      <c r="I108" s="209">
        <v>35372</v>
      </c>
      <c r="J108" s="172"/>
      <c r="K108" s="175" t="s">
        <v>393</v>
      </c>
      <c r="L108" s="175"/>
      <c r="M108" s="175"/>
      <c r="N108" s="360" t="s">
        <v>40</v>
      </c>
      <c r="O108" s="360"/>
      <c r="P108" s="360"/>
      <c r="Q108" s="360"/>
      <c r="R108" s="170"/>
      <c r="S108" s="170"/>
      <c r="T108" s="170"/>
      <c r="U108" s="170"/>
      <c r="V108" s="170"/>
      <c r="W108" s="172"/>
    </row>
    <row r="109" spans="1:25" s="124" customFormat="1" ht="5.0999999999999996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1"/>
      <c r="V109" s="1"/>
      <c r="W109" s="1"/>
    </row>
    <row r="110" spans="1:25" s="124" customFormat="1" ht="15.75">
      <c r="B110" s="12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1"/>
      <c r="V110" s="1"/>
      <c r="W110" s="1"/>
    </row>
    <row r="111" spans="1:25" s="124" customFormat="1" ht="15.75">
      <c r="B111" s="12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1"/>
      <c r="V111" s="1"/>
      <c r="W111" s="1"/>
    </row>
    <row r="112" spans="1:25" ht="15.75">
      <c r="B112" s="126"/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</sheetData>
  <autoFilter ref="A11:Y108" xr:uid="{00000000-0009-0000-0000-000001000000}">
    <filterColumn colId="4" showButton="0"/>
    <filterColumn colId="5" showButton="0"/>
    <filterColumn colId="6" showButton="0"/>
    <filterColumn colId="13" showButton="0"/>
    <filterColumn colId="14" showButton="0"/>
    <filterColumn colId="15" showButton="0"/>
  </autoFilter>
  <mergeCells count="209">
    <mergeCell ref="E23:H23"/>
    <mergeCell ref="N23:Q23"/>
    <mergeCell ref="E58:H58"/>
    <mergeCell ref="N58:Q58"/>
    <mergeCell ref="E49:H49"/>
    <mergeCell ref="N49:Q49"/>
    <mergeCell ref="E50:H50"/>
    <mergeCell ref="N50:Q50"/>
    <mergeCell ref="E51:H51"/>
    <mergeCell ref="N51:Q51"/>
    <mergeCell ref="E52:H52"/>
    <mergeCell ref="N52:Q52"/>
    <mergeCell ref="E53:H53"/>
    <mergeCell ref="N53:Q53"/>
    <mergeCell ref="E48:H48"/>
    <mergeCell ref="N46:Q46"/>
    <mergeCell ref="N47:Q47"/>
    <mergeCell ref="N48:Q48"/>
    <mergeCell ref="E46:H46"/>
    <mergeCell ref="E47:H47"/>
    <mergeCell ref="E43:H43"/>
    <mergeCell ref="N43:Q43"/>
    <mergeCell ref="N45:Q45"/>
    <mergeCell ref="B1:T1"/>
    <mergeCell ref="B2:E8"/>
    <mergeCell ref="Q4:W4"/>
    <mergeCell ref="B9:W9"/>
    <mergeCell ref="B10:W10"/>
    <mergeCell ref="Q6:R6"/>
    <mergeCell ref="S6:T6"/>
    <mergeCell ref="U6:V6"/>
    <mergeCell ref="Q7:R7"/>
    <mergeCell ref="S7:T7"/>
    <mergeCell ref="U7:V7"/>
    <mergeCell ref="F8:W8"/>
    <mergeCell ref="Q3:W3"/>
    <mergeCell ref="S5:T5"/>
    <mergeCell ref="M7:O7"/>
    <mergeCell ref="G5:I5"/>
    <mergeCell ref="M5:O5"/>
    <mergeCell ref="Q5:R5"/>
    <mergeCell ref="G7:I7"/>
    <mergeCell ref="U5:V5"/>
    <mergeCell ref="F3:O3"/>
    <mergeCell ref="E18:H18"/>
    <mergeCell ref="E39:H39"/>
    <mergeCell ref="N27:Q27"/>
    <mergeCell ref="E40:H40"/>
    <mergeCell ref="E41:H41"/>
    <mergeCell ref="E38:H38"/>
    <mergeCell ref="E32:H32"/>
    <mergeCell ref="E28:H28"/>
    <mergeCell ref="N28:Q28"/>
    <mergeCell ref="E29:H29"/>
    <mergeCell ref="N29:Q29"/>
    <mergeCell ref="E31:H31"/>
    <mergeCell ref="N31:Q31"/>
    <mergeCell ref="N39:Q39"/>
    <mergeCell ref="N40:Q40"/>
    <mergeCell ref="N18:Q18"/>
    <mergeCell ref="E21:H21"/>
    <mergeCell ref="N21:Q21"/>
    <mergeCell ref="E34:H34"/>
    <mergeCell ref="N34:Q34"/>
    <mergeCell ref="E35:H35"/>
    <mergeCell ref="E22:H22"/>
    <mergeCell ref="E19:H19"/>
    <mergeCell ref="N19:Q19"/>
    <mergeCell ref="N22:Q22"/>
    <mergeCell ref="E20:H20"/>
    <mergeCell ref="N41:Q41"/>
    <mergeCell ref="N20:Q20"/>
    <mergeCell ref="N35:Q35"/>
    <mergeCell ref="E27:H27"/>
    <mergeCell ref="E45:H45"/>
    <mergeCell ref="E24:H24"/>
    <mergeCell ref="N24:Q24"/>
    <mergeCell ref="E26:H26"/>
    <mergeCell ref="N26:Q26"/>
    <mergeCell ref="E30:H30"/>
    <mergeCell ref="N30:Q30"/>
    <mergeCell ref="N32:Q32"/>
    <mergeCell ref="E33:H33"/>
    <mergeCell ref="N38:Q38"/>
    <mergeCell ref="E25:H25"/>
    <mergeCell ref="N25:Q25"/>
    <mergeCell ref="B37:W37"/>
    <mergeCell ref="E44:H44"/>
    <mergeCell ref="N44:Q44"/>
    <mergeCell ref="N33:Q33"/>
    <mergeCell ref="E42:H42"/>
    <mergeCell ref="N42:Q42"/>
    <mergeCell ref="N11:Q11"/>
    <mergeCell ref="E11:H11"/>
    <mergeCell ref="E15:H15"/>
    <mergeCell ref="E16:H16"/>
    <mergeCell ref="N16:Q16"/>
    <mergeCell ref="E14:H14"/>
    <mergeCell ref="E17:H17"/>
    <mergeCell ref="N14:Q14"/>
    <mergeCell ref="E12:H12"/>
    <mergeCell ref="N12:Q12"/>
    <mergeCell ref="N15:Q15"/>
    <mergeCell ref="N17:Q17"/>
    <mergeCell ref="E13:H13"/>
    <mergeCell ref="N13:Q13"/>
    <mergeCell ref="N59:Q59"/>
    <mergeCell ref="E54:H54"/>
    <mergeCell ref="N54:Q54"/>
    <mergeCell ref="E55:H55"/>
    <mergeCell ref="N55:Q55"/>
    <mergeCell ref="E66:H66"/>
    <mergeCell ref="N66:Q66"/>
    <mergeCell ref="E56:H56"/>
    <mergeCell ref="N56:Q56"/>
    <mergeCell ref="E57:H57"/>
    <mergeCell ref="E65:H65"/>
    <mergeCell ref="N65:Q65"/>
    <mergeCell ref="E60:H60"/>
    <mergeCell ref="N60:Q60"/>
    <mergeCell ref="E61:H61"/>
    <mergeCell ref="N61:Q61"/>
    <mergeCell ref="E62:H62"/>
    <mergeCell ref="N62:Q62"/>
    <mergeCell ref="E63:H63"/>
    <mergeCell ref="N63:Q63"/>
    <mergeCell ref="E64:H64"/>
    <mergeCell ref="N64:Q64"/>
    <mergeCell ref="E59:H59"/>
    <mergeCell ref="N57:Q57"/>
    <mergeCell ref="E70:H70"/>
    <mergeCell ref="N70:Q70"/>
    <mergeCell ref="E71:H71"/>
    <mergeCell ref="N71:Q71"/>
    <mergeCell ref="E67:H67"/>
    <mergeCell ref="N67:Q67"/>
    <mergeCell ref="E68:H68"/>
    <mergeCell ref="N68:Q68"/>
    <mergeCell ref="E75:H75"/>
    <mergeCell ref="N75:Q75"/>
    <mergeCell ref="E69:H69"/>
    <mergeCell ref="N69:Q69"/>
    <mergeCell ref="E72:H72"/>
    <mergeCell ref="N72:Q72"/>
    <mergeCell ref="E73:H73"/>
    <mergeCell ref="N73:Q73"/>
    <mergeCell ref="E74:H74"/>
    <mergeCell ref="N74:Q74"/>
    <mergeCell ref="E79:H79"/>
    <mergeCell ref="N79:Q79"/>
    <mergeCell ref="E80:H80"/>
    <mergeCell ref="N80:Q80"/>
    <mergeCell ref="E93:H93"/>
    <mergeCell ref="N93:Q93"/>
    <mergeCell ref="E84:H84"/>
    <mergeCell ref="N84:Q84"/>
    <mergeCell ref="E76:H76"/>
    <mergeCell ref="N76:Q76"/>
    <mergeCell ref="E77:H77"/>
    <mergeCell ref="N77:Q77"/>
    <mergeCell ref="E78:H78"/>
    <mergeCell ref="N78:Q78"/>
    <mergeCell ref="E81:H81"/>
    <mergeCell ref="N81:Q81"/>
    <mergeCell ref="E82:H82"/>
    <mergeCell ref="N82:Q82"/>
    <mergeCell ref="E83:H83"/>
    <mergeCell ref="N83:Q83"/>
    <mergeCell ref="E96:H96"/>
    <mergeCell ref="N96:Q96"/>
    <mergeCell ref="N97:Q97"/>
    <mergeCell ref="E85:H85"/>
    <mergeCell ref="N85:Q85"/>
    <mergeCell ref="E86:H86"/>
    <mergeCell ref="N86:Q86"/>
    <mergeCell ref="E87:H87"/>
    <mergeCell ref="N87:Q87"/>
    <mergeCell ref="E88:H88"/>
    <mergeCell ref="N88:Q88"/>
    <mergeCell ref="E97:H97"/>
    <mergeCell ref="E94:H94"/>
    <mergeCell ref="N94:Q94"/>
    <mergeCell ref="E95:H95"/>
    <mergeCell ref="N95:Q95"/>
    <mergeCell ref="E89:H89"/>
    <mergeCell ref="N89:Q89"/>
    <mergeCell ref="E90:H90"/>
    <mergeCell ref="N90:Q90"/>
    <mergeCell ref="E91:H91"/>
    <mergeCell ref="N91:Q91"/>
    <mergeCell ref="E92:H92"/>
    <mergeCell ref="N92:Q92"/>
    <mergeCell ref="E108:H108"/>
    <mergeCell ref="N108:Q108"/>
    <mergeCell ref="E105:H105"/>
    <mergeCell ref="N105:Q105"/>
    <mergeCell ref="E99:H99"/>
    <mergeCell ref="N99:Q99"/>
    <mergeCell ref="E98:H98"/>
    <mergeCell ref="E107:H107"/>
    <mergeCell ref="N107:Q107"/>
    <mergeCell ref="E101:H101"/>
    <mergeCell ref="E102:H102"/>
    <mergeCell ref="E103:H103"/>
    <mergeCell ref="E104:H104"/>
    <mergeCell ref="E100:H100"/>
    <mergeCell ref="N98:Q98"/>
    <mergeCell ref="E106:H106"/>
    <mergeCell ref="N106:Q106"/>
  </mergeCells>
  <phoneticPr fontId="17" type="noConversion"/>
  <conditionalFormatting sqref="K12:M22 K23 M23 K24:M36">
    <cfRule type="cellIs" dxfId="24" priority="13" operator="equal">
      <formula>""</formula>
    </cfRule>
    <cfRule type="cellIs" dxfId="23" priority="14" operator="lessThanOrEqual">
      <formula>TODAY()</formula>
    </cfRule>
    <cfRule type="cellIs" dxfId="22" priority="15" operator="between">
      <formula>TODAY()</formula>
      <formula>TODAY()+60</formula>
    </cfRule>
    <cfRule type="cellIs" dxfId="21" priority="16" operator="greaterThanOrEqual">
      <formula>TODAY()+60</formula>
    </cfRule>
  </conditionalFormatting>
  <conditionalFormatting sqref="K38:M108">
    <cfRule type="cellIs" dxfId="20" priority="1" operator="equal">
      <formula>""</formula>
    </cfRule>
    <cfRule type="cellIs" dxfId="19" priority="2" operator="lessThanOrEqual">
      <formula>TODAY()</formula>
    </cfRule>
    <cfRule type="cellIs" dxfId="18" priority="3" operator="between">
      <formula>TODAY()</formula>
      <formula>TODAY()+60</formula>
    </cfRule>
    <cfRule type="cellIs" dxfId="17" priority="4" operator="greaterThanOrEqual">
      <formula>TODAY()+60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37" fitToHeight="0" orientation="landscape" r:id="rId1"/>
  <headerFooter>
    <oddFooter>&amp;C&amp;1#&amp;"Arial Black"&amp;11&amp;K737373PÚBLICA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">
    <pageSetUpPr fitToPage="1"/>
  </sheetPr>
  <dimension ref="A1:Z54"/>
  <sheetViews>
    <sheetView showGridLines="0" zoomScale="70" zoomScaleNormal="70" workbookViewId="0">
      <selection activeCell="G36" sqref="G36:K36"/>
    </sheetView>
  </sheetViews>
  <sheetFormatPr defaultColWidth="0" defaultRowHeight="0" customHeight="1" zeroHeight="1"/>
  <cols>
    <col min="1" max="1" width="0.85546875" style="129" customWidth="1"/>
    <col min="2" max="2" width="8.7109375" style="133" customWidth="1"/>
    <col min="3" max="4" width="13.7109375" style="133" customWidth="1"/>
    <col min="5" max="5" width="0.85546875" style="133" customWidth="1"/>
    <col min="6" max="10" width="13.7109375" style="133" customWidth="1"/>
    <col min="11" max="11" width="17.5703125" style="133" customWidth="1"/>
    <col min="12" max="12" width="6.7109375" style="133" customWidth="1"/>
    <col min="13" max="13" width="0.85546875" style="133" customWidth="1"/>
    <col min="14" max="14" width="13.85546875" style="133" customWidth="1"/>
    <col min="15" max="17" width="13.7109375" style="133" customWidth="1"/>
    <col min="18" max="19" width="13.7109375" style="129" customWidth="1"/>
    <col min="20" max="20" width="26.7109375" style="129" customWidth="1"/>
    <col min="21" max="21" width="0.85546875" style="129" customWidth="1"/>
    <col min="22" max="26" width="0" style="129" hidden="1" customWidth="1"/>
    <col min="27" max="16384" width="9.140625" style="129" hidden="1"/>
  </cols>
  <sheetData>
    <row r="1" spans="2:20" ht="5.0999999999999996" customHeight="1" thickBot="1"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</row>
    <row r="2" spans="2:20" ht="5.0999999999999996" customHeight="1" thickBot="1">
      <c r="B2" s="410"/>
      <c r="C2" s="411"/>
      <c r="D2" s="411"/>
      <c r="E2" s="155"/>
      <c r="F2" s="130"/>
      <c r="G2" s="130"/>
      <c r="H2" s="130"/>
      <c r="I2" s="130"/>
      <c r="J2" s="130"/>
      <c r="K2" s="130"/>
      <c r="L2" s="130"/>
      <c r="M2" s="155"/>
      <c r="N2" s="131"/>
      <c r="O2" s="131"/>
      <c r="P2" s="131"/>
      <c r="Q2" s="131"/>
      <c r="R2" s="131"/>
      <c r="S2" s="131"/>
      <c r="T2" s="132"/>
    </row>
    <row r="3" spans="2:20" ht="30" customHeight="1" thickBot="1">
      <c r="B3" s="38"/>
      <c r="C3" s="39"/>
      <c r="D3" s="40"/>
      <c r="E3" s="3"/>
      <c r="F3" s="257" t="str">
        <f>Geral!F3</f>
        <v>Controle de Equipamentos Offshore</v>
      </c>
      <c r="G3" s="257"/>
      <c r="H3" s="257"/>
      <c r="I3" s="257"/>
      <c r="J3" s="257"/>
      <c r="K3" s="257"/>
      <c r="L3" s="257"/>
      <c r="M3" s="3"/>
      <c r="N3" s="256" t="str">
        <f>Geral!Q3</f>
        <v>Equipe a bordo</v>
      </c>
      <c r="O3" s="257"/>
      <c r="P3" s="257"/>
      <c r="Q3" s="257"/>
      <c r="R3" s="257"/>
      <c r="S3" s="257"/>
      <c r="T3" s="258"/>
    </row>
    <row r="4" spans="2:20" ht="5.0999999999999996" customHeight="1" thickBot="1">
      <c r="B4" s="38"/>
      <c r="C4" s="39"/>
      <c r="D4" s="40"/>
      <c r="E4" s="3"/>
      <c r="F4" s="19"/>
      <c r="G4" s="19"/>
      <c r="H4" s="19"/>
      <c r="I4" s="19"/>
      <c r="J4" s="19"/>
      <c r="K4" s="19"/>
      <c r="L4" s="19"/>
      <c r="M4" s="3"/>
      <c r="N4" s="276"/>
      <c r="O4" s="277"/>
      <c r="P4" s="277"/>
      <c r="Q4" s="277"/>
      <c r="R4" s="277"/>
      <c r="S4" s="277"/>
      <c r="T4" s="278"/>
    </row>
    <row r="5" spans="2:20" ht="20.100000000000001" customHeight="1" thickBot="1">
      <c r="B5" s="38"/>
      <c r="C5" s="39"/>
      <c r="D5" s="40"/>
      <c r="E5" s="36"/>
      <c r="F5" s="35" t="str">
        <f>Geral!F5</f>
        <v>Sonda:</v>
      </c>
      <c r="G5" s="422" t="str">
        <f>Geral!G5</f>
        <v>NS-56</v>
      </c>
      <c r="H5" s="423"/>
      <c r="I5" s="19"/>
      <c r="J5" s="2" t="str">
        <f>Geral!L5</f>
        <v>Poço:</v>
      </c>
      <c r="K5" s="422" t="str">
        <f>Geral!M5</f>
        <v>7-JUB-84H-ESS</v>
      </c>
      <c r="L5" s="423"/>
      <c r="M5" s="3"/>
      <c r="N5" s="424" t="str">
        <f>Geral!Q5</f>
        <v xml:space="preserve">Supervisor </v>
      </c>
      <c r="O5" s="425"/>
      <c r="P5" s="426" t="str">
        <f>Geral!S5</f>
        <v>RAPHAEL DELLATORRE</v>
      </c>
      <c r="Q5" s="426"/>
      <c r="R5" s="424" t="str">
        <f>Geral!U5</f>
        <v xml:space="preserve">Supervisor </v>
      </c>
      <c r="S5" s="425"/>
      <c r="T5" s="23">
        <f>Geral!W5</f>
        <v>0</v>
      </c>
    </row>
    <row r="6" spans="2:20" ht="20.100000000000001" customHeight="1" thickBot="1">
      <c r="B6" s="38"/>
      <c r="C6" s="39"/>
      <c r="D6" s="40"/>
      <c r="E6" s="3"/>
      <c r="F6" s="18"/>
      <c r="G6" s="18" t="s">
        <v>260</v>
      </c>
      <c r="H6" s="18"/>
      <c r="I6" s="19"/>
      <c r="J6" s="18"/>
      <c r="K6" s="18"/>
      <c r="L6" s="18"/>
      <c r="M6" s="4"/>
      <c r="N6" s="376" t="str">
        <f>Geral!Q6</f>
        <v>Técnico</v>
      </c>
      <c r="O6" s="427"/>
      <c r="P6" s="428" t="str">
        <f>Geral!S6</f>
        <v>VINICIUS PEREIRA</v>
      </c>
      <c r="Q6" s="428"/>
      <c r="R6" s="376" t="str">
        <f>Geral!U6</f>
        <v>Técnico</v>
      </c>
      <c r="S6" s="427"/>
      <c r="T6" s="24">
        <f>Geral!W6</f>
        <v>0</v>
      </c>
    </row>
    <row r="7" spans="2:20" ht="20.100000000000001" customHeight="1" thickBot="1">
      <c r="B7" s="41"/>
      <c r="C7" s="42"/>
      <c r="D7" s="43"/>
      <c r="E7" s="36"/>
      <c r="F7" s="35" t="str">
        <f>Geral!F7</f>
        <v>Data:</v>
      </c>
      <c r="G7" s="429">
        <f>Geral!G7</f>
        <v>46032</v>
      </c>
      <c r="H7" s="430"/>
      <c r="I7" s="19"/>
      <c r="J7" s="2" t="str">
        <f>Geral!L7</f>
        <v>Campo:</v>
      </c>
      <c r="K7" s="422" t="str">
        <f>Geral!M7</f>
        <v>JUBARTE</v>
      </c>
      <c r="L7" s="423"/>
      <c r="M7" s="4"/>
      <c r="N7" s="376" t="str">
        <f>Geral!Q7</f>
        <v>Técnico</v>
      </c>
      <c r="O7" s="427"/>
      <c r="P7" s="431" t="str">
        <f>Geral!S7</f>
        <v>ERICO MARTINS</v>
      </c>
      <c r="Q7" s="431"/>
      <c r="R7" s="376" t="str">
        <f>Geral!U7</f>
        <v>Técnico</v>
      </c>
      <c r="S7" s="427"/>
      <c r="T7" s="25">
        <f>Geral!W7</f>
        <v>0</v>
      </c>
    </row>
    <row r="8" spans="2:20" ht="5.0999999999999996" customHeight="1" thickBot="1">
      <c r="B8" s="44"/>
      <c r="C8" s="45"/>
      <c r="D8" s="45"/>
      <c r="E8" s="7"/>
      <c r="F8" s="345"/>
      <c r="G8" s="345"/>
      <c r="H8" s="345"/>
      <c r="I8" s="345"/>
      <c r="J8" s="345"/>
      <c r="K8" s="345"/>
      <c r="L8" s="345"/>
      <c r="M8" s="345"/>
      <c r="N8" s="345"/>
      <c r="O8" s="345"/>
      <c r="P8" s="345"/>
      <c r="Q8" s="345"/>
      <c r="R8" s="345"/>
      <c r="S8" s="345"/>
      <c r="T8" s="354"/>
    </row>
    <row r="9" spans="2:20" s="134" customFormat="1" ht="24.95" customHeight="1" thickBot="1">
      <c r="B9" s="256" t="s">
        <v>14</v>
      </c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8"/>
    </row>
    <row r="10" spans="2:20" ht="5.0999999999999996" customHeight="1" thickBot="1">
      <c r="B10" s="344"/>
      <c r="C10" s="345"/>
      <c r="D10" s="345"/>
      <c r="E10" s="345"/>
      <c r="F10" s="345"/>
      <c r="G10" s="345"/>
      <c r="H10" s="345"/>
      <c r="I10" s="345"/>
      <c r="J10" s="345"/>
      <c r="K10" s="345"/>
      <c r="L10" s="345"/>
      <c r="M10" s="345"/>
      <c r="N10" s="345"/>
      <c r="O10" s="345"/>
      <c r="P10" s="345"/>
      <c r="Q10" s="345"/>
      <c r="R10" s="345"/>
      <c r="S10" s="345"/>
      <c r="T10" s="345"/>
    </row>
    <row r="11" spans="2:20" ht="30" customHeight="1" thickBot="1">
      <c r="B11" s="153" t="s">
        <v>15</v>
      </c>
      <c r="C11" s="123" t="s">
        <v>394</v>
      </c>
      <c r="D11" s="123" t="s">
        <v>18</v>
      </c>
      <c r="E11" s="350" t="s">
        <v>19</v>
      </c>
      <c r="F11" s="351"/>
      <c r="G11" s="350" t="s">
        <v>395</v>
      </c>
      <c r="H11" s="432"/>
      <c r="I11" s="432"/>
      <c r="J11" s="432"/>
      <c r="K11" s="351"/>
      <c r="L11" s="350" t="s">
        <v>396</v>
      </c>
      <c r="M11" s="432"/>
      <c r="N11" s="432"/>
      <c r="O11" s="351"/>
      <c r="P11" s="350" t="s">
        <v>397</v>
      </c>
      <c r="Q11" s="351"/>
      <c r="R11" s="350" t="s">
        <v>398</v>
      </c>
      <c r="S11" s="432"/>
      <c r="T11" s="351"/>
    </row>
    <row r="12" spans="2:20" ht="24.95" customHeight="1" thickBot="1">
      <c r="B12" s="52">
        <v>1</v>
      </c>
      <c r="C12" s="208">
        <v>1</v>
      </c>
      <c r="D12" s="59">
        <v>526315</v>
      </c>
      <c r="E12" s="399"/>
      <c r="F12" s="400"/>
      <c r="G12" s="394" t="s">
        <v>399</v>
      </c>
      <c r="H12" s="395"/>
      <c r="I12" s="395"/>
      <c r="J12" s="395"/>
      <c r="K12" s="396"/>
      <c r="L12" s="279"/>
      <c r="M12" s="418"/>
      <c r="N12" s="418"/>
      <c r="O12" s="280"/>
      <c r="P12" s="279" t="s">
        <v>400</v>
      </c>
      <c r="Q12" s="280"/>
      <c r="R12" s="404"/>
      <c r="S12" s="405"/>
      <c r="T12" s="406"/>
    </row>
    <row r="13" spans="2:20" ht="24.95" customHeight="1" thickBot="1">
      <c r="B13" s="56">
        <v>2</v>
      </c>
      <c r="C13" s="60">
        <v>1</v>
      </c>
      <c r="D13" s="59">
        <v>526313</v>
      </c>
      <c r="E13" s="399"/>
      <c r="F13" s="400"/>
      <c r="G13" s="394" t="s">
        <v>401</v>
      </c>
      <c r="H13" s="395"/>
      <c r="I13" s="395"/>
      <c r="J13" s="395"/>
      <c r="K13" s="396"/>
      <c r="L13" s="279"/>
      <c r="M13" s="418"/>
      <c r="N13" s="418"/>
      <c r="O13" s="280"/>
      <c r="P13" s="279" t="s">
        <v>400</v>
      </c>
      <c r="Q13" s="280"/>
      <c r="R13" s="404"/>
      <c r="S13" s="405"/>
      <c r="T13" s="406"/>
    </row>
    <row r="14" spans="2:20" ht="24.95" customHeight="1" thickBot="1">
      <c r="B14" s="56">
        <v>3</v>
      </c>
      <c r="C14" s="60">
        <v>1</v>
      </c>
      <c r="D14" s="59" t="s">
        <v>34</v>
      </c>
      <c r="E14" s="399"/>
      <c r="F14" s="400"/>
      <c r="G14" s="394" t="s">
        <v>402</v>
      </c>
      <c r="H14" s="395"/>
      <c r="I14" s="395"/>
      <c r="J14" s="395"/>
      <c r="K14" s="396"/>
      <c r="L14" s="279" t="s">
        <v>403</v>
      </c>
      <c r="M14" s="418"/>
      <c r="N14" s="418"/>
      <c r="O14" s="280"/>
      <c r="P14" s="279" t="s">
        <v>400</v>
      </c>
      <c r="Q14" s="280"/>
      <c r="R14" s="404" t="s">
        <v>404</v>
      </c>
      <c r="S14" s="405"/>
      <c r="T14" s="406"/>
    </row>
    <row r="15" spans="2:20" ht="24.95" customHeight="1" thickBot="1">
      <c r="B15" s="56">
        <v>4</v>
      </c>
      <c r="C15" s="60">
        <v>1</v>
      </c>
      <c r="D15" s="59">
        <v>524580</v>
      </c>
      <c r="E15" s="397" t="s">
        <v>34</v>
      </c>
      <c r="F15" s="398"/>
      <c r="G15" s="394" t="s">
        <v>405</v>
      </c>
      <c r="H15" s="395"/>
      <c r="I15" s="395"/>
      <c r="J15" s="395"/>
      <c r="K15" s="396"/>
      <c r="L15" s="279" t="s">
        <v>406</v>
      </c>
      <c r="M15" s="418"/>
      <c r="N15" s="418"/>
      <c r="O15" s="280"/>
      <c r="P15" s="279" t="s">
        <v>400</v>
      </c>
      <c r="Q15" s="280"/>
      <c r="R15" s="404"/>
      <c r="S15" s="405"/>
      <c r="T15" s="406"/>
    </row>
    <row r="16" spans="2:20" ht="24.95" customHeight="1" thickBot="1">
      <c r="B16" s="56">
        <v>5</v>
      </c>
      <c r="C16" s="60">
        <v>0</v>
      </c>
      <c r="D16" s="59">
        <v>526314</v>
      </c>
      <c r="E16" s="397" t="s">
        <v>34</v>
      </c>
      <c r="F16" s="398"/>
      <c r="G16" s="394" t="s">
        <v>407</v>
      </c>
      <c r="H16" s="395"/>
      <c r="I16" s="395"/>
      <c r="J16" s="395"/>
      <c r="K16" s="396"/>
      <c r="L16" s="279"/>
      <c r="M16" s="418"/>
      <c r="N16" s="418"/>
      <c r="O16" s="280"/>
      <c r="P16" s="279" t="s">
        <v>400</v>
      </c>
      <c r="Q16" s="280"/>
      <c r="R16" s="404" t="s">
        <v>408</v>
      </c>
      <c r="S16" s="405"/>
      <c r="T16" s="406"/>
    </row>
    <row r="17" spans="2:21" ht="24.95" customHeight="1" thickBot="1">
      <c r="B17" s="56">
        <v>6</v>
      </c>
      <c r="C17" s="60">
        <v>1</v>
      </c>
      <c r="D17" s="59" t="s">
        <v>409</v>
      </c>
      <c r="E17" s="397" t="s">
        <v>34</v>
      </c>
      <c r="F17" s="398"/>
      <c r="G17" s="394" t="s">
        <v>410</v>
      </c>
      <c r="H17" s="395"/>
      <c r="I17" s="395"/>
      <c r="J17" s="395"/>
      <c r="K17" s="396"/>
      <c r="L17" s="279"/>
      <c r="M17" s="418"/>
      <c r="N17" s="418"/>
      <c r="O17" s="280"/>
      <c r="P17" s="279" t="s">
        <v>400</v>
      </c>
      <c r="Q17" s="280"/>
      <c r="R17" s="404"/>
      <c r="S17" s="405"/>
      <c r="T17" s="406"/>
    </row>
    <row r="18" spans="2:21" ht="60" customHeight="1" thickBot="1">
      <c r="B18" s="56">
        <v>7</v>
      </c>
      <c r="C18" s="60">
        <v>2</v>
      </c>
      <c r="D18" s="59" t="s">
        <v>34</v>
      </c>
      <c r="E18" s="397" t="s">
        <v>34</v>
      </c>
      <c r="F18" s="398"/>
      <c r="G18" s="394" t="s">
        <v>411</v>
      </c>
      <c r="H18" s="395"/>
      <c r="I18" s="395"/>
      <c r="J18" s="395"/>
      <c r="K18" s="396"/>
      <c r="L18" s="355"/>
      <c r="M18" s="419"/>
      <c r="N18" s="419"/>
      <c r="O18" s="356"/>
      <c r="P18" s="279" t="s">
        <v>400</v>
      </c>
      <c r="Q18" s="280"/>
      <c r="R18" s="404"/>
      <c r="S18" s="405"/>
      <c r="T18" s="406"/>
    </row>
    <row r="19" spans="2:21" ht="24.95" customHeight="1" thickBot="1">
      <c r="B19" s="56">
        <v>8</v>
      </c>
      <c r="C19" s="179">
        <v>3</v>
      </c>
      <c r="D19" s="59" t="s">
        <v>34</v>
      </c>
      <c r="E19" s="397" t="s">
        <v>34</v>
      </c>
      <c r="F19" s="398"/>
      <c r="G19" s="394" t="s">
        <v>412</v>
      </c>
      <c r="H19" s="395"/>
      <c r="I19" s="395"/>
      <c r="J19" s="395"/>
      <c r="K19" s="396"/>
      <c r="L19" s="352"/>
      <c r="M19" s="420"/>
      <c r="N19" s="420"/>
      <c r="O19" s="353"/>
      <c r="P19" s="279" t="s">
        <v>400</v>
      </c>
      <c r="Q19" s="280"/>
      <c r="R19" s="404"/>
      <c r="S19" s="405"/>
      <c r="T19" s="406"/>
      <c r="U19" s="129" t="s">
        <v>413</v>
      </c>
    </row>
    <row r="20" spans="2:21" ht="24.95" customHeight="1" thickBot="1">
      <c r="B20" s="56"/>
      <c r="C20" s="60">
        <v>2</v>
      </c>
      <c r="D20" s="59">
        <v>524242</v>
      </c>
      <c r="E20" s="397"/>
      <c r="F20" s="398"/>
      <c r="G20" s="394" t="s">
        <v>414</v>
      </c>
      <c r="H20" s="395"/>
      <c r="I20" s="395"/>
      <c r="J20" s="395"/>
      <c r="K20" s="396"/>
      <c r="L20" s="279"/>
      <c r="M20" s="418"/>
      <c r="N20" s="418"/>
      <c r="O20" s="280"/>
      <c r="P20" s="279" t="s">
        <v>400</v>
      </c>
      <c r="Q20" s="280"/>
      <c r="R20" s="404"/>
      <c r="S20" s="405"/>
      <c r="T20" s="406"/>
    </row>
    <row r="21" spans="2:21" ht="24.95" customHeight="1" thickBot="1">
      <c r="B21" s="56"/>
      <c r="C21" s="60">
        <v>1</v>
      </c>
      <c r="D21" s="59" t="s">
        <v>34</v>
      </c>
      <c r="E21" s="397" t="s">
        <v>34</v>
      </c>
      <c r="F21" s="398"/>
      <c r="G21" s="394" t="s">
        <v>415</v>
      </c>
      <c r="H21" s="395"/>
      <c r="I21" s="395"/>
      <c r="J21" s="395"/>
      <c r="K21" s="396"/>
      <c r="L21" s="279"/>
      <c r="M21" s="418"/>
      <c r="N21" s="418"/>
      <c r="O21" s="280"/>
      <c r="P21" s="279" t="s">
        <v>400</v>
      </c>
      <c r="Q21" s="280"/>
      <c r="R21" s="404"/>
      <c r="S21" s="405"/>
      <c r="T21" s="406"/>
    </row>
    <row r="22" spans="2:21" ht="24.95" customHeight="1" thickBot="1">
      <c r="B22" s="56"/>
      <c r="C22" s="60">
        <v>1</v>
      </c>
      <c r="D22" s="59" t="s">
        <v>34</v>
      </c>
      <c r="E22" s="397" t="s">
        <v>34</v>
      </c>
      <c r="F22" s="398"/>
      <c r="G22" s="394" t="s">
        <v>416</v>
      </c>
      <c r="H22" s="395"/>
      <c r="I22" s="395"/>
      <c r="J22" s="395"/>
      <c r="K22" s="396"/>
      <c r="L22" s="279"/>
      <c r="M22" s="418"/>
      <c r="N22" s="418"/>
      <c r="O22" s="280"/>
      <c r="P22" s="279" t="s">
        <v>417</v>
      </c>
      <c r="Q22" s="280"/>
      <c r="R22" s="404"/>
      <c r="S22" s="405"/>
      <c r="T22" s="406"/>
    </row>
    <row r="23" spans="2:21" ht="24.95" customHeight="1" thickBot="1">
      <c r="B23" s="56"/>
      <c r="C23" s="60">
        <v>1</v>
      </c>
      <c r="D23" s="59" t="s">
        <v>34</v>
      </c>
      <c r="E23" s="397" t="s">
        <v>34</v>
      </c>
      <c r="F23" s="398"/>
      <c r="G23" s="394" t="s">
        <v>418</v>
      </c>
      <c r="H23" s="395"/>
      <c r="I23" s="395"/>
      <c r="J23" s="395"/>
      <c r="K23" s="396"/>
      <c r="L23" s="279"/>
      <c r="M23" s="418"/>
      <c r="N23" s="418"/>
      <c r="O23" s="280"/>
      <c r="P23" s="279" t="s">
        <v>400</v>
      </c>
      <c r="Q23" s="280"/>
      <c r="R23" s="404"/>
      <c r="S23" s="405"/>
      <c r="T23" s="406"/>
    </row>
    <row r="24" spans="2:21" ht="24.95" customHeight="1" thickBot="1">
      <c r="B24" s="56">
        <f>IF(G24="","",B23+1)</f>
        <v>1</v>
      </c>
      <c r="C24" s="179">
        <v>0</v>
      </c>
      <c r="D24" s="59" t="s">
        <v>34</v>
      </c>
      <c r="E24" s="397" t="s">
        <v>34</v>
      </c>
      <c r="F24" s="398"/>
      <c r="G24" s="394" t="s">
        <v>419</v>
      </c>
      <c r="H24" s="395"/>
      <c r="I24" s="395"/>
      <c r="J24" s="395"/>
      <c r="K24" s="396"/>
      <c r="L24" s="279"/>
      <c r="M24" s="418"/>
      <c r="N24" s="418"/>
      <c r="O24" s="280"/>
      <c r="P24" s="279"/>
      <c r="Q24" s="280"/>
      <c r="R24" s="404"/>
      <c r="S24" s="405"/>
      <c r="T24" s="406"/>
    </row>
    <row r="25" spans="2:21" ht="24.95" customHeight="1" thickBot="1">
      <c r="B25" s="56">
        <f>IF(G25="","",B24+1)</f>
        <v>2</v>
      </c>
      <c r="C25" s="60">
        <v>11</v>
      </c>
      <c r="D25" s="59" t="s">
        <v>34</v>
      </c>
      <c r="E25" s="397" t="s">
        <v>34</v>
      </c>
      <c r="F25" s="398"/>
      <c r="G25" s="394" t="s">
        <v>420</v>
      </c>
      <c r="H25" s="395"/>
      <c r="I25" s="395"/>
      <c r="J25" s="395"/>
      <c r="K25" s="396"/>
      <c r="L25" s="279"/>
      <c r="M25" s="418"/>
      <c r="N25" s="418"/>
      <c r="O25" s="280"/>
      <c r="P25" s="279"/>
      <c r="Q25" s="280"/>
      <c r="R25" s="404" t="s">
        <v>421</v>
      </c>
      <c r="S25" s="405"/>
      <c r="T25" s="406"/>
    </row>
    <row r="26" spans="2:21" ht="24.95" customHeight="1">
      <c r="B26" s="56">
        <f>IF(G26="","",B25+1)</f>
        <v>3</v>
      </c>
      <c r="C26" s="60">
        <v>2</v>
      </c>
      <c r="D26" s="59" t="s">
        <v>34</v>
      </c>
      <c r="E26" s="397" t="s">
        <v>34</v>
      </c>
      <c r="F26" s="398"/>
      <c r="G26" s="394" t="s">
        <v>422</v>
      </c>
      <c r="H26" s="395"/>
      <c r="I26" s="395"/>
      <c r="J26" s="395"/>
      <c r="K26" s="396"/>
      <c r="L26" s="279"/>
      <c r="M26" s="418"/>
      <c r="N26" s="418"/>
      <c r="O26" s="280"/>
      <c r="P26" s="279" t="s">
        <v>400</v>
      </c>
      <c r="Q26" s="280"/>
      <c r="R26" s="404" t="s">
        <v>423</v>
      </c>
      <c r="S26" s="405"/>
      <c r="T26" s="406"/>
    </row>
    <row r="27" spans="2:21" ht="24.95" customHeight="1" thickBot="1">
      <c r="B27" s="56" t="e">
        <f>IF(#REF!="","",B26+1)</f>
        <v>#REF!</v>
      </c>
      <c r="C27" s="60">
        <v>0</v>
      </c>
      <c r="D27" s="59" t="s">
        <v>34</v>
      </c>
      <c r="E27" s="397" t="s">
        <v>34</v>
      </c>
      <c r="F27" s="398"/>
      <c r="G27" s="394" t="s">
        <v>424</v>
      </c>
      <c r="H27" s="395"/>
      <c r="I27" s="395"/>
      <c r="J27" s="395"/>
      <c r="K27" s="396"/>
      <c r="L27" s="279" t="s">
        <v>425</v>
      </c>
      <c r="M27" s="418"/>
      <c r="N27" s="418"/>
      <c r="O27" s="280"/>
      <c r="P27" s="279" t="s">
        <v>400</v>
      </c>
      <c r="Q27" s="280"/>
      <c r="R27" s="404" t="s">
        <v>426</v>
      </c>
      <c r="S27" s="405"/>
      <c r="T27" s="406"/>
    </row>
    <row r="28" spans="2:21" ht="24.95" customHeight="1" thickBot="1">
      <c r="B28" s="135" t="e">
        <f>IF(G28="","",B27+1)</f>
        <v>#REF!</v>
      </c>
      <c r="C28" s="60">
        <v>1</v>
      </c>
      <c r="D28" s="59" t="s">
        <v>34</v>
      </c>
      <c r="E28" s="397" t="s">
        <v>34</v>
      </c>
      <c r="F28" s="398"/>
      <c r="G28" s="394" t="s">
        <v>427</v>
      </c>
      <c r="H28" s="395"/>
      <c r="I28" s="395"/>
      <c r="J28" s="395"/>
      <c r="K28" s="396"/>
      <c r="L28" s="279" t="s">
        <v>428</v>
      </c>
      <c r="M28" s="418"/>
      <c r="N28" s="418"/>
      <c r="O28" s="280"/>
      <c r="P28" s="279" t="s">
        <v>400</v>
      </c>
      <c r="Q28" s="280"/>
      <c r="R28" s="404"/>
      <c r="S28" s="405"/>
      <c r="T28" s="406"/>
    </row>
    <row r="29" spans="2:21" ht="24.95" customHeight="1" thickBot="1">
      <c r="B29" s="135" t="e">
        <f>IF(G29="","",B28+1)</f>
        <v>#REF!</v>
      </c>
      <c r="C29" s="60">
        <v>1</v>
      </c>
      <c r="D29" s="59" t="s">
        <v>34</v>
      </c>
      <c r="E29" s="397" t="s">
        <v>34</v>
      </c>
      <c r="F29" s="398"/>
      <c r="G29" s="394" t="s">
        <v>429</v>
      </c>
      <c r="H29" s="395"/>
      <c r="I29" s="395"/>
      <c r="J29" s="395"/>
      <c r="K29" s="396"/>
      <c r="L29" s="279" t="s">
        <v>428</v>
      </c>
      <c r="M29" s="418"/>
      <c r="N29" s="418"/>
      <c r="O29" s="280"/>
      <c r="P29" s="279" t="s">
        <v>400</v>
      </c>
      <c r="Q29" s="280"/>
      <c r="R29" s="404"/>
      <c r="S29" s="405"/>
      <c r="T29" s="406"/>
    </row>
    <row r="30" spans="2:21" ht="24.95" customHeight="1" thickBot="1">
      <c r="B30" s="135" t="e">
        <f t="shared" ref="B30:B52" si="0">IF(G30="","",B29+1)</f>
        <v>#REF!</v>
      </c>
      <c r="C30" s="60">
        <v>1</v>
      </c>
      <c r="D30" s="46" t="s">
        <v>34</v>
      </c>
      <c r="E30" s="399" t="s">
        <v>34</v>
      </c>
      <c r="F30" s="400"/>
      <c r="G30" s="391" t="s">
        <v>430</v>
      </c>
      <c r="H30" s="392"/>
      <c r="I30" s="392"/>
      <c r="J30" s="392"/>
      <c r="K30" s="393"/>
      <c r="L30" s="279"/>
      <c r="M30" s="418"/>
      <c r="N30" s="418"/>
      <c r="O30" s="280"/>
      <c r="P30" s="279"/>
      <c r="Q30" s="280"/>
      <c r="R30" s="401"/>
      <c r="S30" s="402"/>
      <c r="T30" s="403"/>
    </row>
    <row r="31" spans="2:21" ht="24.95" customHeight="1" thickBot="1">
      <c r="B31" s="135" t="e">
        <f t="shared" si="0"/>
        <v>#REF!</v>
      </c>
      <c r="C31" s="47">
        <v>0</v>
      </c>
      <c r="D31" s="46" t="s">
        <v>34</v>
      </c>
      <c r="E31" s="399" t="s">
        <v>34</v>
      </c>
      <c r="F31" s="400"/>
      <c r="G31" s="391" t="s">
        <v>431</v>
      </c>
      <c r="H31" s="392"/>
      <c r="I31" s="392"/>
      <c r="J31" s="392"/>
      <c r="K31" s="393"/>
      <c r="L31" s="412"/>
      <c r="M31" s="414"/>
      <c r="N31" s="414"/>
      <c r="O31" s="413"/>
      <c r="P31" s="412"/>
      <c r="Q31" s="413"/>
      <c r="R31" s="401"/>
      <c r="S31" s="402"/>
      <c r="T31" s="403"/>
    </row>
    <row r="32" spans="2:21" ht="24.95" customHeight="1">
      <c r="B32" s="135" t="e">
        <f t="shared" si="0"/>
        <v>#REF!</v>
      </c>
      <c r="C32" s="47">
        <v>0</v>
      </c>
      <c r="D32" s="46" t="s">
        <v>34</v>
      </c>
      <c r="E32" s="399" t="s">
        <v>34</v>
      </c>
      <c r="F32" s="400"/>
      <c r="G32" s="391" t="s">
        <v>432</v>
      </c>
      <c r="H32" s="392"/>
      <c r="I32" s="392"/>
      <c r="J32" s="392"/>
      <c r="K32" s="393"/>
      <c r="L32" s="412" t="s">
        <v>433</v>
      </c>
      <c r="M32" s="414"/>
      <c r="N32" s="414" t="s">
        <v>433</v>
      </c>
      <c r="O32" s="413"/>
      <c r="P32" s="412"/>
      <c r="Q32" s="413"/>
      <c r="R32" s="401"/>
      <c r="S32" s="402"/>
      <c r="T32" s="403"/>
    </row>
    <row r="33" spans="2:20" ht="24.95" customHeight="1">
      <c r="B33" s="135" t="e">
        <f t="shared" si="0"/>
        <v>#REF!</v>
      </c>
      <c r="C33" s="47">
        <v>0</v>
      </c>
      <c r="D33" s="46" t="s">
        <v>34</v>
      </c>
      <c r="E33" s="391" t="s">
        <v>34</v>
      </c>
      <c r="F33" s="393"/>
      <c r="G33" s="391" t="s">
        <v>434</v>
      </c>
      <c r="H33" s="392"/>
      <c r="I33" s="392"/>
      <c r="J33" s="392"/>
      <c r="K33" s="393"/>
      <c r="L33" s="412" t="s">
        <v>435</v>
      </c>
      <c r="M33" s="414"/>
      <c r="N33" s="414" t="s">
        <v>435</v>
      </c>
      <c r="O33" s="413"/>
      <c r="P33" s="412"/>
      <c r="Q33" s="413"/>
      <c r="R33" s="401"/>
      <c r="S33" s="402"/>
      <c r="T33" s="403"/>
    </row>
    <row r="34" spans="2:20" ht="24.95" customHeight="1">
      <c r="B34" s="135" t="e">
        <f t="shared" si="0"/>
        <v>#REF!</v>
      </c>
      <c r="C34" s="47">
        <v>0</v>
      </c>
      <c r="D34" s="46" t="s">
        <v>34</v>
      </c>
      <c r="E34" s="391" t="s">
        <v>34</v>
      </c>
      <c r="F34" s="393"/>
      <c r="G34" s="391" t="s">
        <v>436</v>
      </c>
      <c r="H34" s="392"/>
      <c r="I34" s="392"/>
      <c r="J34" s="392"/>
      <c r="K34" s="393"/>
      <c r="L34" s="412" t="s">
        <v>435</v>
      </c>
      <c r="M34" s="414"/>
      <c r="N34" s="414" t="s">
        <v>435</v>
      </c>
      <c r="O34" s="413"/>
      <c r="P34" s="412"/>
      <c r="Q34" s="413"/>
      <c r="R34" s="401"/>
      <c r="S34" s="402"/>
      <c r="T34" s="403"/>
    </row>
    <row r="35" spans="2:20" ht="24.95" customHeight="1">
      <c r="B35" s="135" t="e">
        <f t="shared" si="0"/>
        <v>#REF!</v>
      </c>
      <c r="C35" s="47">
        <v>1</v>
      </c>
      <c r="D35" s="46" t="s">
        <v>34</v>
      </c>
      <c r="E35" s="391" t="s">
        <v>34</v>
      </c>
      <c r="F35" s="393"/>
      <c r="G35" s="391" t="s">
        <v>437</v>
      </c>
      <c r="H35" s="392"/>
      <c r="I35" s="392"/>
      <c r="J35" s="392"/>
      <c r="K35" s="393"/>
      <c r="L35" s="412"/>
      <c r="M35" s="414"/>
      <c r="N35" s="414"/>
      <c r="O35" s="413"/>
      <c r="P35" s="412"/>
      <c r="Q35" s="413"/>
      <c r="R35" s="401"/>
      <c r="S35" s="402"/>
      <c r="T35" s="403"/>
    </row>
    <row r="36" spans="2:20" ht="24.95" customHeight="1">
      <c r="B36" s="135" t="e">
        <f t="shared" si="0"/>
        <v>#REF!</v>
      </c>
      <c r="C36" s="47">
        <v>0</v>
      </c>
      <c r="D36" s="46" t="s">
        <v>34</v>
      </c>
      <c r="E36" s="391" t="s">
        <v>34</v>
      </c>
      <c r="F36" s="393"/>
      <c r="G36" s="391" t="s">
        <v>438</v>
      </c>
      <c r="H36" s="392"/>
      <c r="I36" s="392"/>
      <c r="J36" s="392"/>
      <c r="K36" s="393"/>
      <c r="L36" s="412"/>
      <c r="M36" s="414"/>
      <c r="N36" s="414"/>
      <c r="O36" s="413"/>
      <c r="P36" s="412"/>
      <c r="Q36" s="413"/>
      <c r="R36" s="401"/>
      <c r="S36" s="402"/>
      <c r="T36" s="403"/>
    </row>
    <row r="37" spans="2:20" ht="24.95" customHeight="1">
      <c r="B37" s="135" t="e">
        <f t="shared" si="0"/>
        <v>#REF!</v>
      </c>
      <c r="C37" s="48">
        <v>1</v>
      </c>
      <c r="D37" s="37" t="s">
        <v>34</v>
      </c>
      <c r="E37" s="391" t="s">
        <v>34</v>
      </c>
      <c r="F37" s="393"/>
      <c r="G37" s="391" t="s">
        <v>439</v>
      </c>
      <c r="H37" s="392"/>
      <c r="I37" s="392"/>
      <c r="J37" s="392"/>
      <c r="K37" s="393"/>
      <c r="L37" s="412" t="s">
        <v>440</v>
      </c>
      <c r="M37" s="414"/>
      <c r="N37" s="414"/>
      <c r="O37" s="413"/>
      <c r="P37" s="412"/>
      <c r="Q37" s="413"/>
      <c r="R37" s="401"/>
      <c r="S37" s="402"/>
      <c r="T37" s="403"/>
    </row>
    <row r="38" spans="2:20" ht="24.95" customHeight="1">
      <c r="B38" s="135" t="e">
        <f t="shared" si="0"/>
        <v>#REF!</v>
      </c>
      <c r="C38" s="49">
        <v>0</v>
      </c>
      <c r="D38" s="59">
        <v>523800</v>
      </c>
      <c r="E38" s="394" t="s">
        <v>34</v>
      </c>
      <c r="F38" s="396"/>
      <c r="G38" s="391" t="s">
        <v>441</v>
      </c>
      <c r="H38" s="392"/>
      <c r="I38" s="392"/>
      <c r="J38" s="392"/>
      <c r="K38" s="393"/>
      <c r="L38" s="412"/>
      <c r="M38" s="414"/>
      <c r="N38" s="414"/>
      <c r="O38" s="413"/>
      <c r="P38" s="279"/>
      <c r="Q38" s="280"/>
      <c r="R38" s="401"/>
      <c r="S38" s="402"/>
      <c r="T38" s="403"/>
    </row>
    <row r="39" spans="2:20" ht="24.95" customHeight="1">
      <c r="B39" s="135" t="e">
        <f t="shared" si="0"/>
        <v>#REF!</v>
      </c>
      <c r="C39" s="49">
        <v>0</v>
      </c>
      <c r="D39" s="59" t="s">
        <v>34</v>
      </c>
      <c r="E39" s="157" t="s">
        <v>34</v>
      </c>
      <c r="F39" s="158"/>
      <c r="G39" s="391" t="s">
        <v>442</v>
      </c>
      <c r="H39" s="392"/>
      <c r="I39" s="392"/>
      <c r="J39" s="392"/>
      <c r="K39" s="393"/>
      <c r="L39" s="412" t="s">
        <v>443</v>
      </c>
      <c r="M39" s="414"/>
      <c r="N39" s="414"/>
      <c r="O39" s="413"/>
      <c r="P39" s="279"/>
      <c r="Q39" s="280"/>
      <c r="R39" s="401"/>
      <c r="S39" s="402"/>
      <c r="T39" s="403"/>
    </row>
    <row r="40" spans="2:20" ht="24.95" customHeight="1">
      <c r="B40" s="135" t="e">
        <f t="shared" si="0"/>
        <v>#REF!</v>
      </c>
      <c r="C40" s="49">
        <v>0</v>
      </c>
      <c r="D40" s="59" t="s">
        <v>34</v>
      </c>
      <c r="E40" s="394" t="s">
        <v>34</v>
      </c>
      <c r="F40" s="396"/>
      <c r="G40" s="391" t="s">
        <v>444</v>
      </c>
      <c r="H40" s="392"/>
      <c r="I40" s="392"/>
      <c r="J40" s="392"/>
      <c r="K40" s="393"/>
      <c r="L40" s="412" t="s">
        <v>445</v>
      </c>
      <c r="M40" s="414"/>
      <c r="N40" s="414"/>
      <c r="O40" s="413"/>
      <c r="P40" s="279"/>
      <c r="Q40" s="280"/>
      <c r="R40" s="401"/>
      <c r="S40" s="402"/>
      <c r="T40" s="403"/>
    </row>
    <row r="41" spans="2:20" ht="24.95" customHeight="1">
      <c r="B41" s="135" t="e">
        <f t="shared" si="0"/>
        <v>#REF!</v>
      </c>
      <c r="C41" s="49">
        <v>0</v>
      </c>
      <c r="D41" s="59"/>
      <c r="E41" s="394"/>
      <c r="F41" s="396"/>
      <c r="G41" s="391" t="s">
        <v>446</v>
      </c>
      <c r="H41" s="392"/>
      <c r="I41" s="392"/>
      <c r="J41" s="392"/>
      <c r="K41" s="393"/>
      <c r="L41" s="412"/>
      <c r="M41" s="414"/>
      <c r="N41" s="414"/>
      <c r="O41" s="413"/>
      <c r="P41" s="279"/>
      <c r="Q41" s="280"/>
      <c r="R41" s="401"/>
      <c r="S41" s="402"/>
      <c r="T41" s="403"/>
    </row>
    <row r="42" spans="2:20" ht="24.95" customHeight="1">
      <c r="B42" s="135" t="str">
        <f t="shared" si="0"/>
        <v/>
      </c>
      <c r="C42" s="49"/>
      <c r="D42" s="59" t="s">
        <v>36</v>
      </c>
      <c r="E42" s="394" t="s">
        <v>36</v>
      </c>
      <c r="F42" s="396"/>
      <c r="G42" s="391"/>
      <c r="H42" s="392"/>
      <c r="I42" s="392"/>
      <c r="J42" s="392"/>
      <c r="K42" s="393"/>
      <c r="L42" s="412"/>
      <c r="M42" s="414"/>
      <c r="N42" s="414"/>
      <c r="O42" s="413"/>
      <c r="P42" s="279"/>
      <c r="Q42" s="280"/>
      <c r="R42" s="401"/>
      <c r="S42" s="402"/>
      <c r="T42" s="403"/>
    </row>
    <row r="43" spans="2:20" ht="24.95" customHeight="1">
      <c r="B43" s="135" t="str">
        <f t="shared" si="0"/>
        <v/>
      </c>
      <c r="C43" s="49"/>
      <c r="D43" s="59" t="s">
        <v>36</v>
      </c>
      <c r="E43" s="394" t="s">
        <v>36</v>
      </c>
      <c r="F43" s="396"/>
      <c r="G43" s="391"/>
      <c r="H43" s="392"/>
      <c r="I43" s="392"/>
      <c r="J43" s="392"/>
      <c r="K43" s="393"/>
      <c r="L43" s="412"/>
      <c r="M43" s="414"/>
      <c r="N43" s="414"/>
      <c r="O43" s="413"/>
      <c r="P43" s="279"/>
      <c r="Q43" s="280"/>
      <c r="R43" s="401"/>
      <c r="S43" s="402"/>
      <c r="T43" s="403"/>
    </row>
    <row r="44" spans="2:20" ht="24.95" customHeight="1">
      <c r="B44" s="135" t="str">
        <f t="shared" si="0"/>
        <v/>
      </c>
      <c r="C44" s="49"/>
      <c r="D44" s="59" t="s">
        <v>36</v>
      </c>
      <c r="E44" s="394" t="s">
        <v>36</v>
      </c>
      <c r="F44" s="396"/>
      <c r="G44" s="391"/>
      <c r="H44" s="392"/>
      <c r="I44" s="392"/>
      <c r="J44" s="392"/>
      <c r="K44" s="393"/>
      <c r="L44" s="412"/>
      <c r="M44" s="414"/>
      <c r="N44" s="414"/>
      <c r="O44" s="413"/>
      <c r="P44" s="279"/>
      <c r="Q44" s="280"/>
      <c r="R44" s="401"/>
      <c r="S44" s="402"/>
      <c r="T44" s="403"/>
    </row>
    <row r="45" spans="2:20" ht="24.95" customHeight="1">
      <c r="B45" s="135" t="str">
        <f t="shared" si="0"/>
        <v/>
      </c>
      <c r="C45" s="49"/>
      <c r="D45" s="59" t="s">
        <v>36</v>
      </c>
      <c r="E45" s="394" t="s">
        <v>36</v>
      </c>
      <c r="F45" s="396"/>
      <c r="G45" s="391"/>
      <c r="H45" s="392"/>
      <c r="I45" s="392"/>
      <c r="J45" s="392"/>
      <c r="K45" s="393"/>
      <c r="L45" s="412"/>
      <c r="M45" s="414"/>
      <c r="N45" s="414"/>
      <c r="O45" s="413"/>
      <c r="P45" s="279"/>
      <c r="Q45" s="280"/>
      <c r="R45" s="401"/>
      <c r="S45" s="402"/>
      <c r="T45" s="403"/>
    </row>
    <row r="46" spans="2:20" ht="24.95" customHeight="1">
      <c r="B46" s="135" t="str">
        <f t="shared" si="0"/>
        <v/>
      </c>
      <c r="C46" s="49"/>
      <c r="D46" s="33"/>
      <c r="E46" s="391"/>
      <c r="F46" s="393"/>
      <c r="G46" s="391"/>
      <c r="H46" s="392"/>
      <c r="I46" s="392"/>
      <c r="J46" s="392"/>
      <c r="K46" s="393"/>
      <c r="L46" s="412"/>
      <c r="M46" s="414"/>
      <c r="N46" s="414"/>
      <c r="O46" s="413"/>
      <c r="P46" s="412"/>
      <c r="Q46" s="413"/>
      <c r="R46" s="401"/>
      <c r="S46" s="402"/>
      <c r="T46" s="403"/>
    </row>
    <row r="47" spans="2:20" ht="24.95" customHeight="1">
      <c r="B47" s="135" t="str">
        <f t="shared" si="0"/>
        <v/>
      </c>
      <c r="C47" s="49"/>
      <c r="D47" s="33"/>
      <c r="E47" s="391"/>
      <c r="F47" s="393"/>
      <c r="G47" s="391"/>
      <c r="H47" s="392"/>
      <c r="I47" s="392"/>
      <c r="J47" s="392"/>
      <c r="K47" s="393"/>
      <c r="L47" s="412"/>
      <c r="M47" s="414"/>
      <c r="N47" s="414"/>
      <c r="O47" s="413"/>
      <c r="P47" s="412"/>
      <c r="Q47" s="413"/>
      <c r="R47" s="401"/>
      <c r="S47" s="402"/>
      <c r="T47" s="403"/>
    </row>
    <row r="48" spans="2:20" ht="24.95" customHeight="1">
      <c r="B48" s="135" t="str">
        <f t="shared" si="0"/>
        <v/>
      </c>
      <c r="C48" s="49"/>
      <c r="D48" s="33"/>
      <c r="E48" s="391"/>
      <c r="F48" s="393"/>
      <c r="G48" s="391"/>
      <c r="H48" s="392"/>
      <c r="I48" s="392"/>
      <c r="J48" s="392"/>
      <c r="K48" s="393"/>
      <c r="L48" s="412"/>
      <c r="M48" s="414"/>
      <c r="N48" s="414"/>
      <c r="O48" s="413"/>
      <c r="P48" s="412"/>
      <c r="Q48" s="413"/>
      <c r="R48" s="401"/>
      <c r="S48" s="402"/>
      <c r="T48" s="403"/>
    </row>
    <row r="49" spans="2:20" ht="24.95" customHeight="1">
      <c r="B49" s="135" t="str">
        <f t="shared" si="0"/>
        <v/>
      </c>
      <c r="C49" s="49"/>
      <c r="D49" s="33"/>
      <c r="E49" s="391"/>
      <c r="F49" s="393"/>
      <c r="G49" s="391"/>
      <c r="H49" s="392"/>
      <c r="I49" s="392"/>
      <c r="J49" s="392"/>
      <c r="K49" s="393"/>
      <c r="L49" s="412"/>
      <c r="M49" s="414"/>
      <c r="N49" s="414"/>
      <c r="O49" s="413"/>
      <c r="P49" s="412"/>
      <c r="Q49" s="413"/>
      <c r="R49" s="401"/>
      <c r="S49" s="402"/>
      <c r="T49" s="403"/>
    </row>
    <row r="50" spans="2:20" ht="24.95" customHeight="1">
      <c r="B50" s="135" t="str">
        <f t="shared" si="0"/>
        <v/>
      </c>
      <c r="C50" s="49"/>
      <c r="D50" s="33"/>
      <c r="E50" s="391"/>
      <c r="F50" s="393"/>
      <c r="G50" s="391"/>
      <c r="H50" s="392"/>
      <c r="I50" s="392"/>
      <c r="J50" s="392"/>
      <c r="K50" s="393"/>
      <c r="L50" s="412"/>
      <c r="M50" s="414"/>
      <c r="N50" s="414"/>
      <c r="O50" s="413"/>
      <c r="P50" s="412"/>
      <c r="Q50" s="413"/>
      <c r="R50" s="401"/>
      <c r="S50" s="402"/>
      <c r="T50" s="403"/>
    </row>
    <row r="51" spans="2:20" ht="24.95" customHeight="1">
      <c r="B51" s="135" t="str">
        <f t="shared" si="0"/>
        <v/>
      </c>
      <c r="C51" s="49"/>
      <c r="D51" s="33"/>
      <c r="E51" s="391"/>
      <c r="F51" s="393"/>
      <c r="G51" s="391"/>
      <c r="H51" s="392"/>
      <c r="I51" s="392"/>
      <c r="J51" s="392"/>
      <c r="K51" s="393"/>
      <c r="L51" s="412"/>
      <c r="M51" s="414"/>
      <c r="N51" s="414"/>
      <c r="O51" s="413"/>
      <c r="P51" s="412"/>
      <c r="Q51" s="413"/>
      <c r="R51" s="401"/>
      <c r="S51" s="402"/>
      <c r="T51" s="403"/>
    </row>
    <row r="52" spans="2:20" ht="24.95" customHeight="1">
      <c r="B52" s="135" t="str">
        <f t="shared" si="0"/>
        <v/>
      </c>
      <c r="C52" s="49"/>
      <c r="D52" s="33"/>
      <c r="E52" s="391"/>
      <c r="F52" s="393"/>
      <c r="G52" s="391"/>
      <c r="H52" s="392"/>
      <c r="I52" s="392"/>
      <c r="J52" s="392"/>
      <c r="K52" s="393"/>
      <c r="L52" s="412"/>
      <c r="M52" s="414"/>
      <c r="N52" s="414"/>
      <c r="O52" s="413"/>
      <c r="P52" s="412"/>
      <c r="Q52" s="413"/>
      <c r="R52" s="401"/>
      <c r="S52" s="402"/>
      <c r="T52" s="403"/>
    </row>
    <row r="53" spans="2:20" ht="24.95" customHeight="1" thickBot="1">
      <c r="B53" s="136" t="str">
        <f>IF(G53="","",B52+1)</f>
        <v/>
      </c>
      <c r="C53" s="50"/>
      <c r="D53" s="34"/>
      <c r="E53" s="388"/>
      <c r="F53" s="390"/>
      <c r="G53" s="388"/>
      <c r="H53" s="389"/>
      <c r="I53" s="389"/>
      <c r="J53" s="389"/>
      <c r="K53" s="390"/>
      <c r="L53" s="415"/>
      <c r="M53" s="417"/>
      <c r="N53" s="417"/>
      <c r="O53" s="416"/>
      <c r="P53" s="415"/>
      <c r="Q53" s="416"/>
      <c r="R53" s="407"/>
      <c r="S53" s="408"/>
      <c r="T53" s="409"/>
    </row>
    <row r="54" spans="2:20" ht="5.0999999999999996" customHeight="1"/>
  </sheetData>
  <sheetProtection algorithmName="SHA-512" hashValue="8LJTomV+Co16Y/kK7kEPnEX6FnTCuu9pcFXb6rCqjgbHEpHxtu7YnItADWAqcis9TaaVYtM06yH+ZngxanYTUg==" saltValue="FYpDkRWGh1lJZCojCM6Jug==" spinCount="100000" sheet="1" objects="1" scenarios="1"/>
  <mergeCells count="235">
    <mergeCell ref="F8:T8"/>
    <mergeCell ref="B9:T9"/>
    <mergeCell ref="B10:T10"/>
    <mergeCell ref="L12:O12"/>
    <mergeCell ref="N6:O6"/>
    <mergeCell ref="P6:Q6"/>
    <mergeCell ref="R6:S6"/>
    <mergeCell ref="G7:H7"/>
    <mergeCell ref="K7:L7"/>
    <mergeCell ref="N7:O7"/>
    <mergeCell ref="P7:Q7"/>
    <mergeCell ref="R7:S7"/>
    <mergeCell ref="P12:Q12"/>
    <mergeCell ref="P11:Q11"/>
    <mergeCell ref="R11:T11"/>
    <mergeCell ref="L11:O11"/>
    <mergeCell ref="G11:K11"/>
    <mergeCell ref="E11:F11"/>
    <mergeCell ref="E12:F12"/>
    <mergeCell ref="R12:T12"/>
    <mergeCell ref="B1:Q1"/>
    <mergeCell ref="F3:L3"/>
    <mergeCell ref="N3:T3"/>
    <mergeCell ref="N4:T4"/>
    <mergeCell ref="G5:H5"/>
    <mergeCell ref="K5:L5"/>
    <mergeCell ref="N5:O5"/>
    <mergeCell ref="P5:Q5"/>
    <mergeCell ref="R5:S5"/>
    <mergeCell ref="E15:F15"/>
    <mergeCell ref="G15:K15"/>
    <mergeCell ref="L15:O15"/>
    <mergeCell ref="P15:Q15"/>
    <mergeCell ref="G28:K28"/>
    <mergeCell ref="G26:K26"/>
    <mergeCell ref="G25:K25"/>
    <mergeCell ref="G24:K24"/>
    <mergeCell ref="G23:K23"/>
    <mergeCell ref="E18:F18"/>
    <mergeCell ref="E24:F24"/>
    <mergeCell ref="E23:F23"/>
    <mergeCell ref="P21:Q21"/>
    <mergeCell ref="L13:O13"/>
    <mergeCell ref="L24:O24"/>
    <mergeCell ref="L25:O25"/>
    <mergeCell ref="L26:O26"/>
    <mergeCell ref="L40:O40"/>
    <mergeCell ref="L41:O41"/>
    <mergeCell ref="L42:O42"/>
    <mergeCell ref="L43:O43"/>
    <mergeCell ref="L31:O31"/>
    <mergeCell ref="L14:O14"/>
    <mergeCell ref="L27:O27"/>
    <mergeCell ref="L23:O23"/>
    <mergeCell ref="L17:O17"/>
    <mergeCell ref="L18:O18"/>
    <mergeCell ref="L19:O19"/>
    <mergeCell ref="L20:O20"/>
    <mergeCell ref="L21:O21"/>
    <mergeCell ref="L32:O32"/>
    <mergeCell ref="L33:O33"/>
    <mergeCell ref="L34:O34"/>
    <mergeCell ref="L35:O35"/>
    <mergeCell ref="L36:O36"/>
    <mergeCell ref="P37:Q37"/>
    <mergeCell ref="L50:O50"/>
    <mergeCell ref="E47:F47"/>
    <mergeCell ref="L37:O37"/>
    <mergeCell ref="L28:O28"/>
    <mergeCell ref="L29:O29"/>
    <mergeCell ref="L22:O22"/>
    <mergeCell ref="L16:O16"/>
    <mergeCell ref="E29:F29"/>
    <mergeCell ref="P28:Q28"/>
    <mergeCell ref="P31:Q31"/>
    <mergeCell ref="P32:Q32"/>
    <mergeCell ref="P33:Q33"/>
    <mergeCell ref="P34:Q34"/>
    <mergeCell ref="E34:F34"/>
    <mergeCell ref="E17:F17"/>
    <mergeCell ref="E19:F19"/>
    <mergeCell ref="E20:F20"/>
    <mergeCell ref="L30:O30"/>
    <mergeCell ref="P30:Q30"/>
    <mergeCell ref="L51:O51"/>
    <mergeCell ref="P29:Q29"/>
    <mergeCell ref="P51:Q51"/>
    <mergeCell ref="P52:Q52"/>
    <mergeCell ref="P24:Q24"/>
    <mergeCell ref="P25:Q25"/>
    <mergeCell ref="P26:Q26"/>
    <mergeCell ref="P53:Q53"/>
    <mergeCell ref="P48:Q48"/>
    <mergeCell ref="P49:Q49"/>
    <mergeCell ref="P50:Q50"/>
    <mergeCell ref="L52:O52"/>
    <mergeCell ref="L53:O53"/>
    <mergeCell ref="P27:Q27"/>
    <mergeCell ref="L44:O44"/>
    <mergeCell ref="L45:O45"/>
    <mergeCell ref="L46:O46"/>
    <mergeCell ref="L47:O47"/>
    <mergeCell ref="L48:O48"/>
    <mergeCell ref="L49:O49"/>
    <mergeCell ref="L38:O38"/>
    <mergeCell ref="L39:O39"/>
    <mergeCell ref="P35:Q35"/>
    <mergeCell ref="P36:Q36"/>
    <mergeCell ref="R14:T14"/>
    <mergeCell ref="R27:T27"/>
    <mergeCell ref="R16:T16"/>
    <mergeCell ref="R17:T17"/>
    <mergeCell ref="R18:T18"/>
    <mergeCell ref="R19:T19"/>
    <mergeCell ref="P45:Q45"/>
    <mergeCell ref="P46:Q46"/>
    <mergeCell ref="P47:Q47"/>
    <mergeCell ref="P39:Q39"/>
    <mergeCell ref="P40:Q40"/>
    <mergeCell ref="P41:Q41"/>
    <mergeCell ref="P42:Q42"/>
    <mergeCell ref="P43:Q43"/>
    <mergeCell ref="P44:Q44"/>
    <mergeCell ref="P22:Q22"/>
    <mergeCell ref="P23:Q23"/>
    <mergeCell ref="R15:T15"/>
    <mergeCell ref="P14:Q14"/>
    <mergeCell ref="P16:Q16"/>
    <mergeCell ref="P17:Q17"/>
    <mergeCell ref="P18:Q18"/>
    <mergeCell ref="P19:Q19"/>
    <mergeCell ref="P20:Q20"/>
    <mergeCell ref="R51:T51"/>
    <mergeCell ref="R52:T52"/>
    <mergeCell ref="R53:T53"/>
    <mergeCell ref="B2:D2"/>
    <mergeCell ref="R44:T44"/>
    <mergeCell ref="R45:T45"/>
    <mergeCell ref="R46:T46"/>
    <mergeCell ref="R47:T47"/>
    <mergeCell ref="R48:T48"/>
    <mergeCell ref="R49:T49"/>
    <mergeCell ref="R38:T38"/>
    <mergeCell ref="R39:T39"/>
    <mergeCell ref="R40:T40"/>
    <mergeCell ref="R41:T41"/>
    <mergeCell ref="R42:T42"/>
    <mergeCell ref="R43:T43"/>
    <mergeCell ref="R32:T32"/>
    <mergeCell ref="R33:T33"/>
    <mergeCell ref="R34:T34"/>
    <mergeCell ref="R35:T35"/>
    <mergeCell ref="R36:T36"/>
    <mergeCell ref="R37:T37"/>
    <mergeCell ref="R26:T26"/>
    <mergeCell ref="R28:T28"/>
    <mergeCell ref="E13:F13"/>
    <mergeCell ref="E14:F14"/>
    <mergeCell ref="E27:F27"/>
    <mergeCell ref="R50:T50"/>
    <mergeCell ref="P38:Q38"/>
    <mergeCell ref="R29:T29"/>
    <mergeCell ref="R30:T30"/>
    <mergeCell ref="R31:T31"/>
    <mergeCell ref="R20:T20"/>
    <mergeCell ref="R21:T21"/>
    <mergeCell ref="R22:T22"/>
    <mergeCell ref="R23:T23"/>
    <mergeCell ref="R24:T24"/>
    <mergeCell ref="R25:T25"/>
    <mergeCell ref="E44:F44"/>
    <mergeCell ref="E35:F35"/>
    <mergeCell ref="P13:Q13"/>
    <mergeCell ref="R13:T13"/>
    <mergeCell ref="E40:F40"/>
    <mergeCell ref="G18:K18"/>
    <mergeCell ref="G19:K19"/>
    <mergeCell ref="G20:K20"/>
    <mergeCell ref="G21:K21"/>
    <mergeCell ref="G22:K22"/>
    <mergeCell ref="E52:F52"/>
    <mergeCell ref="G52:K52"/>
    <mergeCell ref="E43:F43"/>
    <mergeCell ref="E31:F31"/>
    <mergeCell ref="E32:F32"/>
    <mergeCell ref="E28:F28"/>
    <mergeCell ref="E25:F25"/>
    <mergeCell ref="E26:F26"/>
    <mergeCell ref="E21:F21"/>
    <mergeCell ref="E22:F22"/>
    <mergeCell ref="E42:F42"/>
    <mergeCell ref="E36:F36"/>
    <mergeCell ref="E30:F30"/>
    <mergeCell ref="E37:F37"/>
    <mergeCell ref="E38:F38"/>
    <mergeCell ref="E33:F33"/>
    <mergeCell ref="E53:F53"/>
    <mergeCell ref="G12:K12"/>
    <mergeCell ref="G13:K13"/>
    <mergeCell ref="G14:K14"/>
    <mergeCell ref="G27:K27"/>
    <mergeCell ref="G16:K16"/>
    <mergeCell ref="G17:K17"/>
    <mergeCell ref="E50:F50"/>
    <mergeCell ref="E51:F51"/>
    <mergeCell ref="G50:K50"/>
    <mergeCell ref="G51:K51"/>
    <mergeCell ref="E48:F48"/>
    <mergeCell ref="E49:F49"/>
    <mergeCell ref="G49:K49"/>
    <mergeCell ref="E45:F45"/>
    <mergeCell ref="E46:F46"/>
    <mergeCell ref="E41:F41"/>
    <mergeCell ref="E16:F16"/>
    <mergeCell ref="G29:K29"/>
    <mergeCell ref="G30:K30"/>
    <mergeCell ref="G31:K31"/>
    <mergeCell ref="G32:K32"/>
    <mergeCell ref="G33:K33"/>
    <mergeCell ref="G34:K34"/>
    <mergeCell ref="G53:K53"/>
    <mergeCell ref="G43:K43"/>
    <mergeCell ref="G44:K44"/>
    <mergeCell ref="G45:K45"/>
    <mergeCell ref="G46:K46"/>
    <mergeCell ref="G47:K47"/>
    <mergeCell ref="G48:K48"/>
    <mergeCell ref="G35:K35"/>
    <mergeCell ref="G36:K36"/>
    <mergeCell ref="G37:K37"/>
    <mergeCell ref="G38:K38"/>
    <mergeCell ref="G39:K39"/>
    <mergeCell ref="G40:K40"/>
    <mergeCell ref="G41:K41"/>
    <mergeCell ref="G42:K42"/>
  </mergeCells>
  <phoneticPr fontId="17" type="noConversion"/>
  <conditionalFormatting sqref="C25:D32">
    <cfRule type="expression" dxfId="16" priority="24">
      <formula>$C25=0</formula>
    </cfRule>
  </conditionalFormatting>
  <conditionalFormatting sqref="C12:F24">
    <cfRule type="expression" dxfId="15" priority="9">
      <formula>$C12=0</formula>
    </cfRule>
  </conditionalFormatting>
  <conditionalFormatting sqref="C33:T53">
    <cfRule type="expression" dxfId="14" priority="72">
      <formula>$C33=0</formula>
    </cfRule>
  </conditionalFormatting>
  <conditionalFormatting sqref="E25:Q25">
    <cfRule type="expression" dxfId="13" priority="6">
      <formula>$C25=0</formula>
    </cfRule>
  </conditionalFormatting>
  <conditionalFormatting sqref="G27:R27 G28:K28 R28">
    <cfRule type="expression" dxfId="12" priority="80">
      <formula>$C27=0</formula>
    </cfRule>
  </conditionalFormatting>
  <conditionalFormatting sqref="G12:T12 G13:Q24 R13:T25">
    <cfRule type="expression" dxfId="11" priority="7">
      <formula>$C12=0</formula>
    </cfRule>
  </conditionalFormatting>
  <conditionalFormatting sqref="G26:T26 E26:F32">
    <cfRule type="expression" dxfId="10" priority="88">
      <formula>$C26=0</formula>
    </cfRule>
  </conditionalFormatting>
  <conditionalFormatting sqref="G29:T32">
    <cfRule type="expression" dxfId="9" priority="1">
      <formula>$C29=0</formula>
    </cfRule>
  </conditionalFormatting>
  <conditionalFormatting sqref="L28:Q28">
    <cfRule type="expression" dxfId="8" priority="3">
      <formula>$C30=0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59" fitToHeight="0" orientation="landscape" r:id="rId1"/>
  <headerFooter>
    <oddFooter>&amp;C&amp;1#&amp;"Arial Black"&amp;11&amp;K737373PÚBLICA</oddFooter>
  </headerFooter>
  <ignoredErrors>
    <ignoredError sqref="T6:T7" unlocked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"/>
  <sheetViews>
    <sheetView workbookViewId="0">
      <selection activeCell="F6" sqref="F6"/>
    </sheetView>
  </sheetViews>
  <sheetFormatPr defaultColWidth="9.140625" defaultRowHeight="15"/>
  <cols>
    <col min="1" max="16384" width="9.140625" style="32"/>
  </cols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/>
  <dimension ref="B1:F46"/>
  <sheetViews>
    <sheetView zoomScale="80" zoomScaleNormal="80" workbookViewId="0">
      <selection activeCell="K3" sqref="K3"/>
    </sheetView>
  </sheetViews>
  <sheetFormatPr defaultColWidth="9.140625" defaultRowHeight="15"/>
  <cols>
    <col min="1" max="1" width="9.140625" style="1"/>
    <col min="2" max="2" width="9.140625" style="1" hidden="1" customWidth="1"/>
    <col min="3" max="3" width="54.85546875" style="1" hidden="1" customWidth="1"/>
    <col min="4" max="5" width="9.140625" style="1" hidden="1" customWidth="1"/>
    <col min="6" max="6" width="48.7109375" style="1" hidden="1" customWidth="1"/>
    <col min="7" max="10" width="0" style="1" hidden="1" customWidth="1"/>
    <col min="11" max="16384" width="9.140625" style="1"/>
  </cols>
  <sheetData>
    <row r="1" spans="2:6" ht="15.75" thickBot="1"/>
    <row r="2" spans="2:6" s="10" customFormat="1" ht="45" customHeight="1" thickBot="1">
      <c r="B2" s="9"/>
      <c r="C2" s="9" t="s">
        <v>447</v>
      </c>
      <c r="E2" s="9"/>
      <c r="F2" s="9" t="s">
        <v>448</v>
      </c>
    </row>
    <row r="3" spans="2:6">
      <c r="C3" s="11" t="s">
        <v>449</v>
      </c>
      <c r="F3" s="12" t="s">
        <v>450</v>
      </c>
    </row>
    <row r="4" spans="2:6">
      <c r="C4" s="12" t="s">
        <v>450</v>
      </c>
      <c r="F4" s="13" t="s">
        <v>451</v>
      </c>
    </row>
    <row r="5" spans="2:6">
      <c r="C5" s="12" t="s">
        <v>452</v>
      </c>
      <c r="F5" s="12" t="s">
        <v>452</v>
      </c>
    </row>
    <row r="6" spans="2:6">
      <c r="C6" s="14" t="s">
        <v>453</v>
      </c>
      <c r="F6" s="12" t="s">
        <v>454</v>
      </c>
    </row>
    <row r="7" spans="2:6">
      <c r="C7" s="12" t="s">
        <v>455</v>
      </c>
      <c r="F7" s="13" t="s">
        <v>456</v>
      </c>
    </row>
    <row r="8" spans="2:6">
      <c r="C8" s="12" t="s">
        <v>454</v>
      </c>
      <c r="F8" s="12" t="s">
        <v>457</v>
      </c>
    </row>
    <row r="9" spans="2:6">
      <c r="C9" s="12" t="s">
        <v>457</v>
      </c>
      <c r="F9" s="13" t="s">
        <v>458</v>
      </c>
    </row>
    <row r="10" spans="2:6">
      <c r="C10" s="15" t="s">
        <v>458</v>
      </c>
      <c r="F10" s="13" t="s">
        <v>459</v>
      </c>
    </row>
    <row r="11" spans="2:6">
      <c r="C11" s="15" t="s">
        <v>460</v>
      </c>
      <c r="F11" s="12" t="s">
        <v>461</v>
      </c>
    </row>
    <row r="12" spans="2:6">
      <c r="C12" s="12" t="s">
        <v>461</v>
      </c>
      <c r="F12" s="13" t="s">
        <v>462</v>
      </c>
    </row>
    <row r="13" spans="2:6">
      <c r="C13" s="15" t="s">
        <v>462</v>
      </c>
      <c r="F13" s="13" t="s">
        <v>463</v>
      </c>
    </row>
    <row r="14" spans="2:6">
      <c r="C14" s="15" t="s">
        <v>463</v>
      </c>
      <c r="F14" s="13" t="s">
        <v>464</v>
      </c>
    </row>
    <row r="15" spans="2:6">
      <c r="C15" s="15" t="s">
        <v>465</v>
      </c>
      <c r="F15" s="13" t="s">
        <v>465</v>
      </c>
    </row>
    <row r="16" spans="2:6">
      <c r="C16" s="15" t="s">
        <v>466</v>
      </c>
      <c r="F16" s="13" t="s">
        <v>466</v>
      </c>
    </row>
    <row r="17" spans="3:6">
      <c r="C17" s="15" t="s">
        <v>467</v>
      </c>
      <c r="F17" s="13" t="s">
        <v>467</v>
      </c>
    </row>
    <row r="18" spans="3:6">
      <c r="C18" s="12" t="s">
        <v>468</v>
      </c>
      <c r="F18" s="13" t="s">
        <v>469</v>
      </c>
    </row>
    <row r="19" spans="3:6">
      <c r="C19" s="15" t="s">
        <v>470</v>
      </c>
      <c r="F19" s="12" t="s">
        <v>468</v>
      </c>
    </row>
    <row r="20" spans="3:6">
      <c r="C20" s="12" t="s">
        <v>471</v>
      </c>
      <c r="F20" s="13" t="s">
        <v>472</v>
      </c>
    </row>
    <row r="21" spans="3:6">
      <c r="C21" s="12" t="s">
        <v>40</v>
      </c>
      <c r="F21" s="13" t="s">
        <v>470</v>
      </c>
    </row>
    <row r="22" spans="3:6">
      <c r="C22" s="12" t="s">
        <v>473</v>
      </c>
      <c r="F22" s="12" t="s">
        <v>471</v>
      </c>
    </row>
    <row r="23" spans="3:6">
      <c r="C23" s="12" t="s">
        <v>474</v>
      </c>
      <c r="F23" s="13" t="s">
        <v>475</v>
      </c>
    </row>
    <row r="24" spans="3:6">
      <c r="C24" s="12" t="s">
        <v>476</v>
      </c>
      <c r="F24" s="12" t="s">
        <v>40</v>
      </c>
    </row>
    <row r="25" spans="3:6">
      <c r="C25" s="15" t="s">
        <v>477</v>
      </c>
      <c r="F25" s="12" t="s">
        <v>473</v>
      </c>
    </row>
    <row r="26" spans="3:6">
      <c r="C26" s="12" t="s">
        <v>478</v>
      </c>
      <c r="F26" s="12" t="s">
        <v>474</v>
      </c>
    </row>
    <row r="27" spans="3:6">
      <c r="C27" s="12" t="s">
        <v>479</v>
      </c>
      <c r="F27" s="12" t="s">
        <v>476</v>
      </c>
    </row>
    <row r="28" spans="3:6">
      <c r="C28" s="12" t="s">
        <v>480</v>
      </c>
      <c r="F28" s="13" t="s">
        <v>477</v>
      </c>
    </row>
    <row r="29" spans="3:6">
      <c r="C29" s="14" t="s">
        <v>481</v>
      </c>
      <c r="F29" s="12" t="s">
        <v>478</v>
      </c>
    </row>
    <row r="30" spans="3:6">
      <c r="C30" s="15" t="s">
        <v>482</v>
      </c>
      <c r="F30" s="12" t="s">
        <v>479</v>
      </c>
    </row>
    <row r="31" spans="3:6">
      <c r="C31" s="12" t="s">
        <v>54</v>
      </c>
      <c r="F31" s="12" t="s">
        <v>480</v>
      </c>
    </row>
    <row r="32" spans="3:6">
      <c r="C32" s="15" t="s">
        <v>483</v>
      </c>
      <c r="F32" s="13" t="s">
        <v>482</v>
      </c>
    </row>
    <row r="33" spans="3:6">
      <c r="C33" s="12" t="s">
        <v>484</v>
      </c>
      <c r="F33" s="12" t="s">
        <v>54</v>
      </c>
    </row>
    <row r="34" spans="3:6">
      <c r="C34" s="12" t="s">
        <v>485</v>
      </c>
      <c r="F34" s="13" t="s">
        <v>483</v>
      </c>
    </row>
    <row r="35" spans="3:6">
      <c r="C35" s="12" t="s">
        <v>486</v>
      </c>
      <c r="F35" s="12" t="s">
        <v>484</v>
      </c>
    </row>
    <row r="36" spans="3:6">
      <c r="C36" s="12" t="s">
        <v>487</v>
      </c>
      <c r="F36" s="12" t="s">
        <v>485</v>
      </c>
    </row>
    <row r="37" spans="3:6">
      <c r="C37" s="15" t="s">
        <v>488</v>
      </c>
      <c r="F37" s="12" t="s">
        <v>486</v>
      </c>
    </row>
    <row r="38" spans="3:6">
      <c r="C38" s="15" t="s">
        <v>489</v>
      </c>
      <c r="F38" s="13" t="s">
        <v>488</v>
      </c>
    </row>
    <row r="39" spans="3:6">
      <c r="C39" s="15" t="s">
        <v>490</v>
      </c>
      <c r="F39" s="13" t="s">
        <v>489</v>
      </c>
    </row>
    <row r="40" spans="3:6">
      <c r="C40" s="12" t="s">
        <v>491</v>
      </c>
      <c r="F40" s="13" t="s">
        <v>490</v>
      </c>
    </row>
    <row r="41" spans="3:6">
      <c r="C41" s="15" t="s">
        <v>492</v>
      </c>
      <c r="F41" s="12" t="s">
        <v>491</v>
      </c>
    </row>
    <row r="42" spans="3:6">
      <c r="C42" s="15" t="s">
        <v>493</v>
      </c>
      <c r="F42" s="13" t="s">
        <v>494</v>
      </c>
    </row>
    <row r="43" spans="3:6" ht="15.75" thickBot="1">
      <c r="C43" s="16" t="s">
        <v>495</v>
      </c>
      <c r="F43" s="13" t="s">
        <v>496</v>
      </c>
    </row>
    <row r="44" spans="3:6">
      <c r="F44" s="13" t="s">
        <v>492</v>
      </c>
    </row>
    <row r="45" spans="3:6">
      <c r="F45" s="13" t="s">
        <v>493</v>
      </c>
    </row>
    <row r="46" spans="3:6" ht="15.75" thickBot="1">
      <c r="F46" s="17" t="s">
        <v>497</v>
      </c>
    </row>
  </sheetData>
  <sheetProtection sheet="1" objects="1" scenarios="1" selectLockedCells="1" selectUnlockedCells="1"/>
  <sortState xmlns:xlrd2="http://schemas.microsoft.com/office/spreadsheetml/2017/richdata2" ref="F3:F47">
    <sortCondition ref="F3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"/>
  <dimension ref="B5:D12"/>
  <sheetViews>
    <sheetView workbookViewId="0">
      <selection activeCell="D8" sqref="D8"/>
    </sheetView>
  </sheetViews>
  <sheetFormatPr defaultColWidth="9.140625" defaultRowHeight="15"/>
  <cols>
    <col min="1" max="1" width="9.140625" style="28"/>
    <col min="2" max="2" width="7.140625" style="28" bestFit="1" customWidth="1"/>
    <col min="3" max="3" width="83.28515625" style="28" bestFit="1" customWidth="1"/>
    <col min="4" max="4" width="8.85546875" style="28" bestFit="1" customWidth="1"/>
    <col min="5" max="16384" width="9.140625" style="28"/>
  </cols>
  <sheetData>
    <row r="5" spans="2:4" ht="25.5">
      <c r="B5" s="26" t="s">
        <v>498</v>
      </c>
      <c r="C5" s="26" t="s">
        <v>499</v>
      </c>
      <c r="D5" s="27" t="s">
        <v>500</v>
      </c>
    </row>
    <row r="6" spans="2:4">
      <c r="B6" s="29">
        <v>3</v>
      </c>
      <c r="C6" s="30"/>
      <c r="D6" s="31"/>
    </row>
    <row r="7" spans="2:4">
      <c r="B7" s="29">
        <v>4</v>
      </c>
      <c r="C7" s="30" t="s">
        <v>501</v>
      </c>
      <c r="D7" s="31" t="s">
        <v>502</v>
      </c>
    </row>
    <row r="8" spans="2:4">
      <c r="B8" s="29">
        <v>4</v>
      </c>
      <c r="C8" s="30" t="s">
        <v>503</v>
      </c>
      <c r="D8" s="31" t="s">
        <v>504</v>
      </c>
    </row>
    <row r="9" spans="2:4">
      <c r="B9" s="29">
        <v>3</v>
      </c>
      <c r="C9" s="30" t="s">
        <v>505</v>
      </c>
      <c r="D9" s="31" t="s">
        <v>506</v>
      </c>
    </row>
    <row r="10" spans="2:4">
      <c r="B10" s="29">
        <v>1</v>
      </c>
      <c r="C10" s="30" t="s">
        <v>507</v>
      </c>
      <c r="D10" s="31" t="s">
        <v>508</v>
      </c>
    </row>
    <row r="11" spans="2:4">
      <c r="B11" s="29">
        <v>1</v>
      </c>
      <c r="C11" s="30" t="s">
        <v>509</v>
      </c>
      <c r="D11" s="31" t="s">
        <v>510</v>
      </c>
    </row>
    <row r="12" spans="2:4">
      <c r="B12" s="29">
        <v>1</v>
      </c>
      <c r="C12" s="30" t="s">
        <v>511</v>
      </c>
      <c r="D12" s="31" t="s">
        <v>512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5"/>
  <sheetViews>
    <sheetView topLeftCell="A3" workbookViewId="0">
      <selection activeCell="F21" sqref="F21"/>
    </sheetView>
  </sheetViews>
  <sheetFormatPr defaultRowHeight="15"/>
  <cols>
    <col min="1" max="1" width="16" style="217" bestFit="1" customWidth="1"/>
    <col min="2" max="2" width="35.7109375" style="217" bestFit="1" customWidth="1"/>
    <col min="3" max="3" width="16.28515625" customWidth="1"/>
    <col min="4" max="4" width="19.42578125" customWidth="1"/>
    <col min="5" max="5" width="13.5703125" customWidth="1"/>
    <col min="6" max="6" width="18.28515625" customWidth="1"/>
    <col min="7" max="7" width="52.28515625" customWidth="1"/>
  </cols>
  <sheetData>
    <row r="1" spans="1:7" ht="21">
      <c r="A1" s="433" t="s">
        <v>513</v>
      </c>
      <c r="B1" s="434"/>
      <c r="C1" s="434"/>
      <c r="D1" s="434"/>
      <c r="E1" s="434"/>
      <c r="F1" s="435" t="s">
        <v>514</v>
      </c>
      <c r="G1" s="197" t="s">
        <v>515</v>
      </c>
    </row>
    <row r="2" spans="1:7" ht="21">
      <c r="A2" s="216" t="s">
        <v>2</v>
      </c>
      <c r="B2" s="227" t="s">
        <v>516</v>
      </c>
      <c r="C2" s="195" t="s">
        <v>517</v>
      </c>
      <c r="D2" s="210" t="s">
        <v>518</v>
      </c>
      <c r="E2" s="194" t="s">
        <v>515</v>
      </c>
      <c r="F2" s="436"/>
      <c r="G2" s="198" t="s">
        <v>515</v>
      </c>
    </row>
    <row r="3" spans="1:7" ht="21">
      <c r="A3" s="216" t="s">
        <v>515</v>
      </c>
      <c r="B3" s="228" t="s">
        <v>515</v>
      </c>
      <c r="C3" s="196" t="s">
        <v>515</v>
      </c>
      <c r="D3" s="196" t="s">
        <v>515</v>
      </c>
      <c r="E3" s="196" t="s">
        <v>515</v>
      </c>
      <c r="F3" s="436"/>
      <c r="G3" s="198" t="s">
        <v>515</v>
      </c>
    </row>
    <row r="4" spans="1:7" ht="21">
      <c r="A4" s="448" t="s">
        <v>519</v>
      </c>
      <c r="B4" s="449"/>
      <c r="C4" s="199" t="s">
        <v>7</v>
      </c>
      <c r="D4" s="200"/>
      <c r="E4" s="196" t="s">
        <v>515</v>
      </c>
      <c r="F4" s="436"/>
      <c r="G4" s="198" t="s">
        <v>515</v>
      </c>
    </row>
    <row r="5" spans="1:7">
      <c r="A5" s="229" t="s">
        <v>520</v>
      </c>
      <c r="B5" s="230" t="s">
        <v>521</v>
      </c>
      <c r="C5" s="230" t="s">
        <v>522</v>
      </c>
      <c r="D5" s="230" t="s">
        <v>523</v>
      </c>
      <c r="E5" s="230" t="s">
        <v>524</v>
      </c>
      <c r="F5" s="231" t="s">
        <v>525</v>
      </c>
      <c r="G5" s="232" t="s">
        <v>526</v>
      </c>
    </row>
    <row r="6" spans="1:7">
      <c r="A6" s="233" t="s">
        <v>209</v>
      </c>
      <c r="B6" s="233" t="s">
        <v>527</v>
      </c>
      <c r="C6" s="233" t="s">
        <v>528</v>
      </c>
      <c r="D6" s="233" t="s">
        <v>528</v>
      </c>
      <c r="E6" s="234" t="s">
        <v>528</v>
      </c>
      <c r="F6" s="235" t="s">
        <v>528</v>
      </c>
      <c r="G6" s="236" t="s">
        <v>529</v>
      </c>
    </row>
    <row r="7" spans="1:7" ht="15.75" customHeight="1">
      <c r="A7" s="237">
        <v>49188</v>
      </c>
      <c r="B7" s="238" t="s">
        <v>530</v>
      </c>
      <c r="C7" s="237" t="s">
        <v>531</v>
      </c>
      <c r="D7" s="237" t="s">
        <v>532</v>
      </c>
      <c r="E7" s="239"/>
      <c r="F7" s="240" t="s">
        <v>533</v>
      </c>
      <c r="G7" s="241" t="s">
        <v>534</v>
      </c>
    </row>
    <row r="8" spans="1:7">
      <c r="A8" s="233" t="s">
        <v>535</v>
      </c>
      <c r="B8" s="233" t="s">
        <v>536</v>
      </c>
      <c r="C8" s="233" t="s">
        <v>515</v>
      </c>
      <c r="D8" s="233" t="s">
        <v>537</v>
      </c>
      <c r="E8" s="234" t="s">
        <v>515</v>
      </c>
      <c r="F8" s="235" t="s">
        <v>538</v>
      </c>
      <c r="G8" s="236" t="s">
        <v>539</v>
      </c>
    </row>
    <row r="9" spans="1:7">
      <c r="A9" s="237" t="s">
        <v>540</v>
      </c>
      <c r="B9" s="238" t="s">
        <v>536</v>
      </c>
      <c r="C9" s="237" t="s">
        <v>515</v>
      </c>
      <c r="D9" s="237" t="s">
        <v>537</v>
      </c>
      <c r="E9" s="239" t="s">
        <v>515</v>
      </c>
      <c r="F9" s="240" t="s">
        <v>538</v>
      </c>
      <c r="G9" s="241" t="s">
        <v>541</v>
      </c>
    </row>
    <row r="10" spans="1:7">
      <c r="A10" s="233" t="s">
        <v>542</v>
      </c>
      <c r="B10" s="233" t="s">
        <v>536</v>
      </c>
      <c r="C10" s="233" t="s">
        <v>515</v>
      </c>
      <c r="D10" s="233" t="s">
        <v>537</v>
      </c>
      <c r="E10" s="234" t="s">
        <v>515</v>
      </c>
      <c r="F10" s="235" t="s">
        <v>543</v>
      </c>
      <c r="G10" s="236" t="s">
        <v>541</v>
      </c>
    </row>
    <row r="11" spans="1:7">
      <c r="A11" s="237" t="s">
        <v>544</v>
      </c>
      <c r="B11" s="238" t="s">
        <v>536</v>
      </c>
      <c r="C11" s="237" t="s">
        <v>515</v>
      </c>
      <c r="D11" s="237" t="s">
        <v>537</v>
      </c>
      <c r="E11" s="239" t="s">
        <v>515</v>
      </c>
      <c r="F11" s="240" t="s">
        <v>545</v>
      </c>
      <c r="G11" s="241" t="s">
        <v>541</v>
      </c>
    </row>
    <row r="12" spans="1:7">
      <c r="A12" s="233" t="s">
        <v>546</v>
      </c>
      <c r="B12" s="233" t="s">
        <v>536</v>
      </c>
      <c r="C12" s="233" t="s">
        <v>515</v>
      </c>
      <c r="D12" s="233" t="s">
        <v>537</v>
      </c>
      <c r="E12" s="234" t="s">
        <v>515</v>
      </c>
      <c r="F12" s="235" t="s">
        <v>545</v>
      </c>
      <c r="G12" s="236" t="s">
        <v>541</v>
      </c>
    </row>
    <row r="13" spans="1:7">
      <c r="A13" s="237" t="s">
        <v>547</v>
      </c>
      <c r="B13" s="238" t="s">
        <v>536</v>
      </c>
      <c r="C13" s="237" t="s">
        <v>515</v>
      </c>
      <c r="D13" s="237" t="s">
        <v>537</v>
      </c>
      <c r="E13" s="239" t="s">
        <v>515</v>
      </c>
      <c r="F13" s="240" t="s">
        <v>545</v>
      </c>
      <c r="G13" s="241" t="s">
        <v>548</v>
      </c>
    </row>
    <row r="14" spans="1:7">
      <c r="A14" s="237" t="s">
        <v>549</v>
      </c>
      <c r="B14" s="237" t="s">
        <v>536</v>
      </c>
      <c r="C14" s="237"/>
      <c r="D14" s="237">
        <v>45725</v>
      </c>
      <c r="E14" s="239">
        <v>46090</v>
      </c>
      <c r="F14" s="240"/>
      <c r="G14" s="241"/>
    </row>
    <row r="15" spans="1:7">
      <c r="A15" s="233">
        <v>46429</v>
      </c>
      <c r="B15" s="233" t="s">
        <v>550</v>
      </c>
      <c r="C15" s="233" t="s">
        <v>551</v>
      </c>
      <c r="D15" s="233">
        <v>46361</v>
      </c>
      <c r="E15" s="234">
        <v>46361</v>
      </c>
      <c r="F15" s="235" t="s">
        <v>552</v>
      </c>
      <c r="G15" s="236" t="s">
        <v>553</v>
      </c>
    </row>
    <row r="16" spans="1:7">
      <c r="A16" s="237">
        <v>4718</v>
      </c>
      <c r="B16" s="238" t="s">
        <v>554</v>
      </c>
      <c r="C16" s="237" t="s">
        <v>555</v>
      </c>
      <c r="D16" s="237" t="s">
        <v>556</v>
      </c>
      <c r="E16" s="239" t="s">
        <v>556</v>
      </c>
      <c r="F16" s="240" t="s">
        <v>557</v>
      </c>
      <c r="G16" s="241" t="s">
        <v>558</v>
      </c>
    </row>
    <row r="17" spans="1:7">
      <c r="A17" s="233">
        <v>46430</v>
      </c>
      <c r="B17" s="233" t="s">
        <v>559</v>
      </c>
      <c r="C17" s="233" t="s">
        <v>560</v>
      </c>
      <c r="D17" s="242" t="s">
        <v>561</v>
      </c>
      <c r="E17" s="242" t="s">
        <v>562</v>
      </c>
      <c r="F17" s="233" t="s">
        <v>552</v>
      </c>
      <c r="G17" s="236" t="s">
        <v>558</v>
      </c>
    </row>
    <row r="18" spans="1:7">
      <c r="A18" s="237">
        <v>46431</v>
      </c>
      <c r="B18" s="238" t="s">
        <v>559</v>
      </c>
      <c r="C18" s="237" t="s">
        <v>563</v>
      </c>
      <c r="D18" s="237" t="s">
        <v>564</v>
      </c>
      <c r="E18" s="239" t="s">
        <v>562</v>
      </c>
      <c r="F18" s="240" t="s">
        <v>552</v>
      </c>
      <c r="G18" s="241" t="s">
        <v>558</v>
      </c>
    </row>
    <row r="19" spans="1:7">
      <c r="A19" s="233">
        <v>47192</v>
      </c>
      <c r="B19" s="233" t="s">
        <v>565</v>
      </c>
      <c r="C19" s="233" t="s">
        <v>566</v>
      </c>
      <c r="D19" s="233" t="s">
        <v>567</v>
      </c>
      <c r="E19" s="242" t="s">
        <v>568</v>
      </c>
      <c r="F19" s="233" t="s">
        <v>557</v>
      </c>
      <c r="G19" s="236" t="s">
        <v>558</v>
      </c>
    </row>
    <row r="20" spans="1:7">
      <c r="A20" s="237">
        <v>47171</v>
      </c>
      <c r="B20" s="243" t="s">
        <v>569</v>
      </c>
      <c r="C20" s="243" t="s">
        <v>570</v>
      </c>
      <c r="D20" s="243" t="s">
        <v>567</v>
      </c>
      <c r="E20" s="244" t="s">
        <v>568</v>
      </c>
      <c r="F20" s="243" t="s">
        <v>557</v>
      </c>
      <c r="G20" s="245" t="s">
        <v>558</v>
      </c>
    </row>
    <row r="21" spans="1:7">
      <c r="A21" s="233">
        <v>47191</v>
      </c>
      <c r="B21" s="233" t="s">
        <v>571</v>
      </c>
      <c r="C21" s="233" t="s">
        <v>572</v>
      </c>
      <c r="D21" s="233" t="s">
        <v>567</v>
      </c>
      <c r="E21" s="242" t="s">
        <v>568</v>
      </c>
      <c r="F21" s="233" t="s">
        <v>557</v>
      </c>
      <c r="G21" s="236" t="s">
        <v>558</v>
      </c>
    </row>
    <row r="22" spans="1:7" s="226" customFormat="1">
      <c r="A22" s="243">
        <v>49612</v>
      </c>
      <c r="B22" s="243" t="s">
        <v>573</v>
      </c>
      <c r="C22" s="243" t="s">
        <v>574</v>
      </c>
      <c r="D22" s="246">
        <v>45421</v>
      </c>
      <c r="E22" s="246">
        <v>45786</v>
      </c>
      <c r="F22" s="243" t="s">
        <v>575</v>
      </c>
      <c r="G22" s="245" t="s">
        <v>558</v>
      </c>
    </row>
    <row r="23" spans="1:7">
      <c r="A23" s="233">
        <v>49623</v>
      </c>
      <c r="B23" s="233" t="s">
        <v>530</v>
      </c>
      <c r="C23" s="233" t="s">
        <v>576</v>
      </c>
      <c r="D23" s="246">
        <v>45421</v>
      </c>
      <c r="E23" s="246">
        <v>45786</v>
      </c>
      <c r="F23" s="233" t="s">
        <v>577</v>
      </c>
      <c r="G23" s="236" t="s">
        <v>558</v>
      </c>
    </row>
    <row r="24" spans="1:7">
      <c r="A24" s="243" t="s">
        <v>515</v>
      </c>
      <c r="B24" s="243" t="s">
        <v>559</v>
      </c>
      <c r="C24" s="243" t="s">
        <v>578</v>
      </c>
      <c r="D24" s="246">
        <v>45421</v>
      </c>
      <c r="E24" s="246">
        <v>45786</v>
      </c>
      <c r="F24" s="243" t="s">
        <v>579</v>
      </c>
      <c r="G24" s="245" t="s">
        <v>558</v>
      </c>
    </row>
    <row r="25" spans="1:7">
      <c r="A25" s="233">
        <v>49611</v>
      </c>
      <c r="B25" s="233" t="s">
        <v>580</v>
      </c>
      <c r="C25" s="233" t="s">
        <v>581</v>
      </c>
      <c r="D25" s="246">
        <v>45421</v>
      </c>
      <c r="E25" s="246">
        <v>45786</v>
      </c>
      <c r="F25" s="233" t="s">
        <v>577</v>
      </c>
      <c r="G25" s="236" t="s">
        <v>558</v>
      </c>
    </row>
    <row r="26" spans="1:7">
      <c r="A26" s="243" t="s">
        <v>515</v>
      </c>
      <c r="B26" s="243" t="s">
        <v>580</v>
      </c>
      <c r="C26" s="243" t="s">
        <v>582</v>
      </c>
      <c r="D26" s="246">
        <v>45421</v>
      </c>
      <c r="E26" s="246">
        <v>45786</v>
      </c>
      <c r="F26" s="243" t="s">
        <v>577</v>
      </c>
      <c r="G26" s="245" t="s">
        <v>558</v>
      </c>
    </row>
    <row r="27" spans="1:7">
      <c r="A27" s="233">
        <v>49615</v>
      </c>
      <c r="B27" s="233" t="s">
        <v>583</v>
      </c>
      <c r="C27" s="233"/>
      <c r="D27" s="246">
        <v>45421</v>
      </c>
      <c r="E27" s="246">
        <v>45786</v>
      </c>
      <c r="F27" s="233" t="s">
        <v>575</v>
      </c>
      <c r="G27" s="236" t="s">
        <v>558</v>
      </c>
    </row>
    <row r="28" spans="1:7">
      <c r="A28" s="233" t="s">
        <v>584</v>
      </c>
      <c r="B28" s="233" t="s">
        <v>585</v>
      </c>
      <c r="C28" s="233" t="s">
        <v>586</v>
      </c>
      <c r="D28" s="233">
        <v>45942</v>
      </c>
      <c r="E28" s="234" t="s">
        <v>587</v>
      </c>
      <c r="F28" s="235" t="s">
        <v>588</v>
      </c>
      <c r="G28" s="236" t="s">
        <v>589</v>
      </c>
    </row>
    <row r="29" spans="1:7">
      <c r="A29" s="243"/>
      <c r="B29" s="243" t="s">
        <v>515</v>
      </c>
      <c r="C29" s="243" t="s">
        <v>515</v>
      </c>
      <c r="D29" s="247" t="s">
        <v>515</v>
      </c>
      <c r="E29" s="247" t="s">
        <v>515</v>
      </c>
      <c r="F29" s="243" t="s">
        <v>515</v>
      </c>
      <c r="G29" s="245" t="s">
        <v>515</v>
      </c>
    </row>
    <row r="30" spans="1:7">
      <c r="A30" s="233" t="s">
        <v>515</v>
      </c>
      <c r="B30" s="233" t="s">
        <v>515</v>
      </c>
      <c r="C30" s="233" t="s">
        <v>515</v>
      </c>
      <c r="D30" s="233" t="s">
        <v>515</v>
      </c>
      <c r="E30" s="242" t="s">
        <v>515</v>
      </c>
      <c r="F30" s="233" t="s">
        <v>515</v>
      </c>
      <c r="G30" s="236" t="s">
        <v>515</v>
      </c>
    </row>
    <row r="31" spans="1:7">
      <c r="A31" s="243" t="s">
        <v>515</v>
      </c>
      <c r="B31" s="243" t="s">
        <v>515</v>
      </c>
      <c r="C31" s="243" t="s">
        <v>515</v>
      </c>
      <c r="D31" s="247" t="s">
        <v>515</v>
      </c>
      <c r="E31" s="247" t="s">
        <v>515</v>
      </c>
      <c r="F31" s="243" t="s">
        <v>515</v>
      </c>
      <c r="G31" s="245" t="s">
        <v>515</v>
      </c>
    </row>
    <row r="32" spans="1:7">
      <c r="A32" s="233" t="s">
        <v>515</v>
      </c>
      <c r="B32" s="233" t="s">
        <v>515</v>
      </c>
      <c r="C32" s="233" t="s">
        <v>515</v>
      </c>
      <c r="D32" s="233" t="s">
        <v>515</v>
      </c>
      <c r="E32" s="242" t="s">
        <v>515</v>
      </c>
      <c r="F32" s="233" t="s">
        <v>515</v>
      </c>
      <c r="G32" s="236" t="s">
        <v>515</v>
      </c>
    </row>
    <row r="33" spans="1:7">
      <c r="A33" s="243" t="s">
        <v>515</v>
      </c>
      <c r="B33" s="243" t="s">
        <v>515</v>
      </c>
      <c r="C33" s="243" t="s">
        <v>515</v>
      </c>
      <c r="D33" s="247" t="s">
        <v>515</v>
      </c>
      <c r="E33" s="247" t="s">
        <v>515</v>
      </c>
      <c r="F33" s="243" t="s">
        <v>515</v>
      </c>
      <c r="G33" s="245" t="s">
        <v>515</v>
      </c>
    </row>
    <row r="34" spans="1:7">
      <c r="A34" s="233"/>
      <c r="B34" s="233" t="s">
        <v>515</v>
      </c>
      <c r="C34" s="233" t="s">
        <v>515</v>
      </c>
      <c r="D34" s="233" t="s">
        <v>515</v>
      </c>
      <c r="E34" s="242" t="s">
        <v>515</v>
      </c>
      <c r="F34" s="233" t="s">
        <v>515</v>
      </c>
      <c r="G34" s="236" t="s">
        <v>515</v>
      </c>
    </row>
    <row r="35" spans="1:7">
      <c r="A35" s="243"/>
      <c r="B35" s="243" t="s">
        <v>515</v>
      </c>
      <c r="C35" s="243" t="s">
        <v>515</v>
      </c>
      <c r="D35" s="247" t="s">
        <v>515</v>
      </c>
      <c r="E35" s="247" t="s">
        <v>515</v>
      </c>
      <c r="F35" s="243" t="s">
        <v>515</v>
      </c>
      <c r="G35" s="245" t="s">
        <v>515</v>
      </c>
    </row>
  </sheetData>
  <autoFilter ref="A5:G36" xr:uid="{00000000-0009-0000-0000-000006000000}"/>
  <mergeCells count="3">
    <mergeCell ref="A1:E1"/>
    <mergeCell ref="A4:B4"/>
    <mergeCell ref="F1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2"/>
  <sheetViews>
    <sheetView workbookViewId="0">
      <selection activeCell="E21" sqref="E21:H21"/>
    </sheetView>
  </sheetViews>
  <sheetFormatPr defaultRowHeight="15"/>
  <cols>
    <col min="1" max="1" width="2.42578125" customWidth="1"/>
    <col min="4" max="4" width="15.140625" customWidth="1"/>
    <col min="8" max="8" width="17.42578125" customWidth="1"/>
    <col min="11" max="11" width="11.5703125" customWidth="1"/>
    <col min="12" max="12" width="12.85546875" customWidth="1"/>
    <col min="13" max="13" width="11.85546875" customWidth="1"/>
  </cols>
  <sheetData>
    <row r="1" spans="1:24">
      <c r="A1" s="1"/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1"/>
      <c r="V1" s="1"/>
      <c r="W1" s="1"/>
      <c r="X1" s="1"/>
    </row>
    <row r="2" spans="1:24">
      <c r="A2" s="1"/>
      <c r="B2" s="341"/>
      <c r="C2" s="342"/>
      <c r="D2" s="342"/>
      <c r="E2" s="342"/>
      <c r="F2" s="22"/>
      <c r="G2" s="22"/>
      <c r="H2" s="22"/>
      <c r="I2" s="22"/>
      <c r="J2" s="22"/>
      <c r="K2" s="22"/>
      <c r="L2" s="22"/>
      <c r="M2" s="22"/>
      <c r="N2" s="22"/>
      <c r="O2" s="22"/>
      <c r="P2" s="6"/>
      <c r="Q2" s="20"/>
      <c r="R2" s="20"/>
      <c r="S2" s="20"/>
      <c r="T2" s="20"/>
      <c r="U2" s="20"/>
      <c r="V2" s="20"/>
      <c r="W2" s="21"/>
      <c r="X2" s="1"/>
    </row>
    <row r="3" spans="1:24" ht="18.75">
      <c r="A3" s="1"/>
      <c r="B3" s="343"/>
      <c r="C3" s="340"/>
      <c r="D3" s="340"/>
      <c r="E3" s="340"/>
      <c r="F3" s="256" t="str">
        <f>Geral!F3</f>
        <v>Controle de Equipamentos Offshore</v>
      </c>
      <c r="G3" s="257"/>
      <c r="H3" s="257"/>
      <c r="I3" s="257"/>
      <c r="J3" s="257"/>
      <c r="K3" s="257"/>
      <c r="L3" s="257"/>
      <c r="M3" s="257"/>
      <c r="N3" s="257"/>
      <c r="O3" s="258"/>
      <c r="P3" s="3"/>
      <c r="Q3" s="256" t="str">
        <f>Geral!Q3</f>
        <v>Equipe a bordo</v>
      </c>
      <c r="R3" s="257"/>
      <c r="S3" s="257"/>
      <c r="T3" s="257"/>
      <c r="U3" s="257"/>
      <c r="V3" s="257"/>
      <c r="W3" s="258"/>
      <c r="X3" s="1"/>
    </row>
    <row r="4" spans="1:24">
      <c r="A4" s="1"/>
      <c r="B4" s="343"/>
      <c r="C4" s="340"/>
      <c r="D4" s="340"/>
      <c r="E4" s="340"/>
      <c r="F4" s="19"/>
      <c r="G4" s="19"/>
      <c r="H4" s="19"/>
      <c r="I4" s="19"/>
      <c r="J4" s="19"/>
      <c r="K4" s="19"/>
      <c r="L4" s="19"/>
      <c r="M4" s="19"/>
      <c r="N4" s="19"/>
      <c r="O4" s="19"/>
      <c r="P4" s="3"/>
      <c r="Q4" s="276"/>
      <c r="R4" s="277"/>
      <c r="S4" s="277"/>
      <c r="T4" s="277"/>
      <c r="U4" s="277"/>
      <c r="V4" s="277"/>
      <c r="W4" s="278"/>
      <c r="X4" s="1"/>
    </row>
    <row r="5" spans="1:24" ht="15.75">
      <c r="A5" s="124"/>
      <c r="B5" s="343"/>
      <c r="C5" s="340"/>
      <c r="D5" s="340"/>
      <c r="E5" s="340"/>
      <c r="F5" s="113" t="str">
        <f>Geral!F5</f>
        <v>Sonda:</v>
      </c>
      <c r="G5" s="379" t="s">
        <v>41</v>
      </c>
      <c r="H5" s="380"/>
      <c r="I5" s="381"/>
      <c r="J5" s="125"/>
      <c r="K5" s="125"/>
      <c r="L5" s="113" t="str">
        <f>Geral!L5</f>
        <v>Poço:</v>
      </c>
      <c r="M5" s="259" t="s">
        <v>590</v>
      </c>
      <c r="N5" s="260"/>
      <c r="O5" s="261"/>
      <c r="P5" s="126"/>
      <c r="Q5" s="332" t="str">
        <f>Geral!Q5</f>
        <v xml:space="preserve">Supervisor </v>
      </c>
      <c r="R5" s="333"/>
      <c r="S5" s="336" t="s">
        <v>7</v>
      </c>
      <c r="T5" s="337"/>
      <c r="U5" s="332" t="str">
        <f>Geral!U5</f>
        <v xml:space="preserve">Supervisor </v>
      </c>
      <c r="V5" s="333"/>
      <c r="W5" s="51"/>
      <c r="X5" s="167"/>
    </row>
    <row r="6" spans="1:24" ht="15.75">
      <c r="A6" s="1"/>
      <c r="B6" s="343"/>
      <c r="C6" s="340"/>
      <c r="D6" s="340"/>
      <c r="E6" s="340"/>
      <c r="F6" s="18"/>
      <c r="G6" s="18" t="s">
        <v>260</v>
      </c>
      <c r="H6" s="18"/>
      <c r="I6" s="4"/>
      <c r="J6" s="19"/>
      <c r="K6" s="19"/>
      <c r="L6" s="18"/>
      <c r="M6" s="18" t="s">
        <v>261</v>
      </c>
      <c r="N6" s="18"/>
      <c r="O6" s="4"/>
      <c r="P6" s="4"/>
      <c r="Q6" s="376" t="str">
        <f>Geral!Q6</f>
        <v>Técnico</v>
      </c>
      <c r="R6" s="377"/>
      <c r="S6" s="338" t="s">
        <v>591</v>
      </c>
      <c r="T6" s="339"/>
      <c r="U6" s="378" t="s">
        <v>8</v>
      </c>
      <c r="V6" s="378"/>
      <c r="W6" s="51"/>
      <c r="X6" s="1"/>
    </row>
    <row r="7" spans="1:24" ht="15.75">
      <c r="A7" s="124"/>
      <c r="B7" s="343"/>
      <c r="C7" s="340"/>
      <c r="D7" s="340"/>
      <c r="E7" s="340"/>
      <c r="F7" s="113" t="str">
        <f>Geral!F7</f>
        <v>Data:</v>
      </c>
      <c r="G7" s="382">
        <v>45970</v>
      </c>
      <c r="H7" s="383"/>
      <c r="I7" s="384"/>
      <c r="J7" s="125"/>
      <c r="K7" s="125"/>
      <c r="L7" s="113" t="str">
        <f>Geral!L7</f>
        <v>Campo:</v>
      </c>
      <c r="M7" s="379" t="str">
        <f>IF(Geral!M7="","",Geral!M7)</f>
        <v>JUBARTE</v>
      </c>
      <c r="N7" s="380"/>
      <c r="O7" s="381"/>
      <c r="P7" s="116"/>
      <c r="Q7" s="334" t="str">
        <f>Geral!Q7</f>
        <v>Técnico</v>
      </c>
      <c r="R7" s="335"/>
      <c r="S7" s="338"/>
      <c r="T7" s="339"/>
      <c r="U7" s="334" t="s">
        <v>8</v>
      </c>
      <c r="V7" s="335"/>
      <c r="W7" s="51"/>
      <c r="X7" s="124"/>
    </row>
    <row r="8" spans="1:24">
      <c r="A8" s="1"/>
      <c r="B8" s="344"/>
      <c r="C8" s="345"/>
      <c r="D8" s="345"/>
      <c r="E8" s="345"/>
      <c r="F8" s="345"/>
      <c r="G8" s="345"/>
      <c r="H8" s="345"/>
      <c r="I8" s="345"/>
      <c r="J8" s="345"/>
      <c r="K8" s="345"/>
      <c r="L8" s="345"/>
      <c r="M8" s="345"/>
      <c r="N8" s="345"/>
      <c r="O8" s="345"/>
      <c r="P8" s="345"/>
      <c r="Q8" s="345"/>
      <c r="R8" s="345"/>
      <c r="S8" s="345"/>
      <c r="T8" s="345"/>
      <c r="U8" s="345"/>
      <c r="V8" s="345"/>
      <c r="W8" s="354"/>
      <c r="X8" s="1"/>
    </row>
    <row r="9" spans="1:24" ht="15.75">
      <c r="A9" s="124"/>
      <c r="B9" s="373" t="s">
        <v>14</v>
      </c>
      <c r="C9" s="374"/>
      <c r="D9" s="374"/>
      <c r="E9" s="374"/>
      <c r="F9" s="374"/>
      <c r="G9" s="374"/>
      <c r="H9" s="374"/>
      <c r="I9" s="374"/>
      <c r="J9" s="374"/>
      <c r="K9" s="374"/>
      <c r="L9" s="374"/>
      <c r="M9" s="374"/>
      <c r="N9" s="374"/>
      <c r="O9" s="374"/>
      <c r="P9" s="374"/>
      <c r="Q9" s="374"/>
      <c r="R9" s="374"/>
      <c r="S9" s="374"/>
      <c r="T9" s="374"/>
      <c r="U9" s="374"/>
      <c r="V9" s="374"/>
      <c r="W9" s="375"/>
      <c r="X9" s="124"/>
    </row>
    <row r="10" spans="1:24">
      <c r="A10" s="1"/>
      <c r="B10" s="343"/>
      <c r="C10" s="340"/>
      <c r="D10" s="340"/>
      <c r="E10" s="340"/>
      <c r="F10" s="340"/>
      <c r="G10" s="340"/>
      <c r="H10" s="340"/>
      <c r="I10" s="340"/>
      <c r="J10" s="340"/>
      <c r="K10" s="340"/>
      <c r="L10" s="340"/>
      <c r="M10" s="340"/>
      <c r="N10" s="340"/>
      <c r="O10" s="340"/>
      <c r="P10" s="340"/>
      <c r="Q10" s="340"/>
      <c r="R10" s="340"/>
      <c r="S10" s="340"/>
      <c r="T10" s="340"/>
      <c r="U10" s="340"/>
      <c r="V10" s="340"/>
      <c r="W10" s="340"/>
      <c r="X10" s="1"/>
    </row>
    <row r="11" spans="1:24" s="222" customFormat="1" ht="60" customHeight="1">
      <c r="A11" s="218"/>
      <c r="B11" s="219" t="s">
        <v>15</v>
      </c>
      <c r="C11" s="219" t="s">
        <v>18</v>
      </c>
      <c r="D11" s="219" t="s">
        <v>19</v>
      </c>
      <c r="E11" s="438" t="s">
        <v>20</v>
      </c>
      <c r="F11" s="439"/>
      <c r="G11" s="439"/>
      <c r="H11" s="440"/>
      <c r="I11" s="219" t="s">
        <v>264</v>
      </c>
      <c r="J11" s="220" t="s">
        <v>265</v>
      </c>
      <c r="K11" s="219" t="s">
        <v>266</v>
      </c>
      <c r="L11" s="219" t="s">
        <v>267</v>
      </c>
      <c r="M11" s="219" t="s">
        <v>268</v>
      </c>
      <c r="N11" s="438" t="s">
        <v>269</v>
      </c>
      <c r="O11" s="439"/>
      <c r="P11" s="439"/>
      <c r="Q11" s="440"/>
      <c r="R11" s="219" t="s">
        <v>25</v>
      </c>
      <c r="S11" s="220" t="s">
        <v>26</v>
      </c>
      <c r="T11" s="219" t="s">
        <v>27</v>
      </c>
      <c r="U11" s="219" t="s">
        <v>28</v>
      </c>
      <c r="V11" s="219" t="s">
        <v>29</v>
      </c>
      <c r="W11" s="219" t="s">
        <v>32</v>
      </c>
      <c r="X11" s="221"/>
    </row>
    <row r="12" spans="1:24" ht="15.75">
      <c r="A12" s="169"/>
      <c r="B12" s="173">
        <v>26</v>
      </c>
      <c r="C12" s="213" t="s">
        <v>34</v>
      </c>
      <c r="D12" s="193" t="s">
        <v>592</v>
      </c>
      <c r="E12" s="367" t="s">
        <v>593</v>
      </c>
      <c r="F12" s="368"/>
      <c r="G12" s="368"/>
      <c r="H12" s="437"/>
      <c r="I12" s="172"/>
      <c r="J12" s="172"/>
      <c r="K12" s="175"/>
      <c r="L12" s="175">
        <v>46158</v>
      </c>
      <c r="M12" s="175"/>
      <c r="N12" s="361" t="s">
        <v>40</v>
      </c>
      <c r="O12" s="362"/>
      <c r="P12" s="362"/>
      <c r="Q12" s="363"/>
      <c r="R12" s="170"/>
      <c r="S12" s="170"/>
      <c r="T12" s="170"/>
      <c r="U12" s="170"/>
      <c r="V12" s="170"/>
      <c r="W12" s="170"/>
      <c r="X12" s="171"/>
    </row>
    <row r="13" spans="1:24" ht="15.75">
      <c r="A13" s="169"/>
      <c r="B13" s="173">
        <v>27</v>
      </c>
      <c r="C13" s="213" t="s">
        <v>34</v>
      </c>
      <c r="D13" s="193" t="s">
        <v>594</v>
      </c>
      <c r="E13" s="367" t="s">
        <v>595</v>
      </c>
      <c r="F13" s="368"/>
      <c r="G13" s="368"/>
      <c r="H13" s="437"/>
      <c r="I13" s="172"/>
      <c r="J13" s="172"/>
      <c r="K13" s="175"/>
      <c r="L13" s="175">
        <v>46000</v>
      </c>
      <c r="M13" s="175"/>
      <c r="N13" s="361" t="s">
        <v>596</v>
      </c>
      <c r="O13" s="362"/>
      <c r="P13" s="362"/>
      <c r="Q13" s="363"/>
      <c r="R13" s="170"/>
      <c r="S13" s="170"/>
      <c r="T13" s="170"/>
      <c r="U13" s="170"/>
      <c r="V13" s="170"/>
      <c r="W13" s="170"/>
      <c r="X13" s="171"/>
    </row>
    <row r="14" spans="1:24" ht="15.75">
      <c r="A14" s="169"/>
      <c r="B14" s="173">
        <v>28</v>
      </c>
      <c r="C14" s="213" t="s">
        <v>34</v>
      </c>
      <c r="D14" s="193" t="s">
        <v>597</v>
      </c>
      <c r="E14" s="367" t="s">
        <v>595</v>
      </c>
      <c r="F14" s="368"/>
      <c r="G14" s="368"/>
      <c r="H14" s="437"/>
      <c r="I14" s="172"/>
      <c r="J14" s="172"/>
      <c r="K14" s="175"/>
      <c r="L14" s="175">
        <v>46149</v>
      </c>
      <c r="M14" s="175"/>
      <c r="N14" s="181"/>
      <c r="O14" s="182"/>
      <c r="P14" s="182"/>
      <c r="Q14" s="183"/>
      <c r="R14" s="170"/>
      <c r="S14" s="170"/>
      <c r="T14" s="170"/>
      <c r="U14" s="170"/>
      <c r="V14" s="170"/>
      <c r="W14" s="170"/>
      <c r="X14" s="171"/>
    </row>
    <row r="15" spans="1:24" ht="15.75">
      <c r="A15" s="169"/>
      <c r="B15" s="173">
        <v>29</v>
      </c>
      <c r="C15" s="213" t="s">
        <v>34</v>
      </c>
      <c r="D15" s="193" t="s">
        <v>598</v>
      </c>
      <c r="E15" s="367" t="s">
        <v>599</v>
      </c>
      <c r="F15" s="368"/>
      <c r="G15" s="368"/>
      <c r="H15" s="437"/>
      <c r="I15" s="172"/>
      <c r="J15" s="172"/>
      <c r="K15" s="175"/>
      <c r="L15" s="175">
        <v>46130</v>
      </c>
      <c r="M15" s="175"/>
      <c r="N15" s="361" t="s">
        <v>596</v>
      </c>
      <c r="O15" s="362"/>
      <c r="P15" s="362"/>
      <c r="Q15" s="363"/>
      <c r="R15" s="170"/>
      <c r="S15" s="170"/>
      <c r="T15" s="170"/>
      <c r="U15" s="170"/>
      <c r="V15" s="170"/>
      <c r="W15" s="170"/>
      <c r="X15" s="171"/>
    </row>
    <row r="16" spans="1:24" ht="15.75">
      <c r="A16" s="169"/>
      <c r="B16" s="173">
        <v>30</v>
      </c>
      <c r="C16" s="213" t="s">
        <v>34</v>
      </c>
      <c r="D16" s="212" t="s">
        <v>600</v>
      </c>
      <c r="E16" s="367" t="s">
        <v>599</v>
      </c>
      <c r="F16" s="368"/>
      <c r="G16" s="368"/>
      <c r="H16" s="437"/>
      <c r="I16" s="172"/>
      <c r="J16" s="172"/>
      <c r="K16" s="175"/>
      <c r="L16" s="175">
        <v>46246</v>
      </c>
      <c r="M16" s="175"/>
      <c r="N16" s="181"/>
      <c r="O16" s="182"/>
      <c r="P16" s="182"/>
      <c r="Q16" s="183"/>
      <c r="R16" s="170"/>
      <c r="S16" s="170"/>
      <c r="T16" s="170"/>
      <c r="U16" s="170"/>
      <c r="V16" s="170"/>
      <c r="W16" s="170"/>
      <c r="X16" s="171"/>
    </row>
    <row r="17" spans="1:24" ht="15.75">
      <c r="A17" s="169"/>
      <c r="B17" s="173">
        <v>31</v>
      </c>
      <c r="C17" s="213" t="s">
        <v>34</v>
      </c>
      <c r="D17" s="172" t="s">
        <v>601</v>
      </c>
      <c r="E17" s="357" t="s">
        <v>602</v>
      </c>
      <c r="F17" s="358"/>
      <c r="G17" s="358"/>
      <c r="H17" s="359"/>
      <c r="I17" s="186"/>
      <c r="J17" s="186"/>
      <c r="K17" s="175"/>
      <c r="L17" s="175">
        <v>46008</v>
      </c>
      <c r="M17" s="175"/>
      <c r="N17" s="361" t="s">
        <v>40</v>
      </c>
      <c r="O17" s="362"/>
      <c r="P17" s="362"/>
      <c r="Q17" s="363"/>
      <c r="R17" s="170"/>
      <c r="S17" s="170"/>
      <c r="T17" s="170"/>
      <c r="U17" s="170"/>
      <c r="V17" s="170"/>
      <c r="W17" s="170"/>
      <c r="X17" s="171"/>
    </row>
    <row r="18" spans="1:24" ht="15.75">
      <c r="A18" s="169"/>
      <c r="B18" s="173">
        <v>32</v>
      </c>
      <c r="C18" s="213" t="s">
        <v>34</v>
      </c>
      <c r="D18" s="189" t="s">
        <v>603</v>
      </c>
      <c r="E18" s="441" t="s">
        <v>604</v>
      </c>
      <c r="F18" s="442"/>
      <c r="G18" s="442"/>
      <c r="H18" s="447"/>
      <c r="I18" s="186"/>
      <c r="J18" s="186"/>
      <c r="K18" s="175"/>
      <c r="L18" s="175">
        <v>45889</v>
      </c>
      <c r="M18" s="175"/>
      <c r="N18" s="361" t="s">
        <v>40</v>
      </c>
      <c r="O18" s="362"/>
      <c r="P18" s="362"/>
      <c r="Q18" s="363"/>
      <c r="R18" s="170"/>
      <c r="S18" s="170"/>
      <c r="T18" s="170"/>
      <c r="U18" s="170"/>
      <c r="V18" s="170"/>
      <c r="W18" s="170"/>
      <c r="X18" s="171"/>
    </row>
    <row r="19" spans="1:24" ht="15.75">
      <c r="A19" s="169"/>
      <c r="B19" s="173">
        <v>33</v>
      </c>
      <c r="C19" s="213" t="s">
        <v>34</v>
      </c>
      <c r="D19" s="190" t="s">
        <v>605</v>
      </c>
      <c r="E19" s="441" t="s">
        <v>606</v>
      </c>
      <c r="F19" s="442"/>
      <c r="G19" s="442"/>
      <c r="H19" s="443"/>
      <c r="I19" s="186"/>
      <c r="J19" s="186"/>
      <c r="K19" s="175"/>
      <c r="L19" s="175">
        <v>45885</v>
      </c>
      <c r="M19" s="175"/>
      <c r="N19" s="361" t="s">
        <v>40</v>
      </c>
      <c r="O19" s="362"/>
      <c r="P19" s="362"/>
      <c r="Q19" s="363"/>
      <c r="R19" s="170"/>
      <c r="S19" s="170"/>
      <c r="T19" s="170"/>
      <c r="U19" s="170"/>
      <c r="V19" s="170"/>
      <c r="W19" s="170"/>
      <c r="X19" s="171"/>
    </row>
    <row r="20" spans="1:24" ht="15.75">
      <c r="A20" s="169"/>
      <c r="B20" s="173">
        <v>34</v>
      </c>
      <c r="C20" s="213" t="s">
        <v>34</v>
      </c>
      <c r="D20" s="190" t="s">
        <v>607</v>
      </c>
      <c r="E20" s="441" t="s">
        <v>606</v>
      </c>
      <c r="F20" s="442"/>
      <c r="G20" s="442"/>
      <c r="H20" s="443"/>
      <c r="I20" s="172"/>
      <c r="J20" s="172"/>
      <c r="K20" s="175"/>
      <c r="L20" s="175">
        <v>45898</v>
      </c>
      <c r="M20" s="175"/>
      <c r="N20" s="361" t="s">
        <v>40</v>
      </c>
      <c r="O20" s="362"/>
      <c r="P20" s="362"/>
      <c r="Q20" s="363"/>
      <c r="R20" s="170"/>
      <c r="S20" s="170"/>
      <c r="T20" s="170"/>
      <c r="U20" s="170"/>
      <c r="V20" s="170"/>
      <c r="W20" s="170"/>
      <c r="X20" s="171"/>
    </row>
    <row r="21" spans="1:24" ht="15.75">
      <c r="A21" s="169"/>
      <c r="B21" s="173">
        <v>35</v>
      </c>
      <c r="C21" s="213" t="s">
        <v>34</v>
      </c>
      <c r="D21" s="190" t="s">
        <v>608</v>
      </c>
      <c r="E21" s="441" t="s">
        <v>609</v>
      </c>
      <c r="F21" s="442"/>
      <c r="G21" s="442"/>
      <c r="H21" s="443"/>
      <c r="I21" s="172"/>
      <c r="J21" s="172"/>
      <c r="K21" s="175"/>
      <c r="L21" s="175" t="s">
        <v>610</v>
      </c>
      <c r="M21" s="175"/>
      <c r="N21" s="361" t="s">
        <v>40</v>
      </c>
      <c r="O21" s="362"/>
      <c r="P21" s="362"/>
      <c r="Q21" s="363"/>
      <c r="R21" s="170"/>
      <c r="S21" s="170"/>
      <c r="T21" s="170"/>
      <c r="U21" s="170"/>
      <c r="V21" s="170"/>
      <c r="W21" s="170"/>
      <c r="X21" s="171"/>
    </row>
    <row r="22" spans="1:24" ht="15.75">
      <c r="A22" s="169"/>
      <c r="B22" s="444"/>
      <c r="C22" s="445"/>
      <c r="D22" s="445"/>
      <c r="E22" s="445"/>
      <c r="F22" s="445"/>
      <c r="G22" s="445"/>
      <c r="H22" s="445"/>
      <c r="I22" s="445"/>
      <c r="J22" s="445"/>
      <c r="K22" s="445"/>
      <c r="L22" s="445"/>
      <c r="M22" s="446"/>
      <c r="N22" s="181"/>
      <c r="O22" s="182"/>
      <c r="P22" s="182"/>
      <c r="Q22" s="183"/>
      <c r="R22" s="170"/>
      <c r="S22" s="170"/>
      <c r="T22" s="170"/>
      <c r="U22" s="170"/>
      <c r="V22" s="170"/>
      <c r="W22" s="170"/>
      <c r="X22" s="171"/>
    </row>
    <row r="23" spans="1:24" ht="15.75">
      <c r="A23" s="169"/>
      <c r="B23" s="173"/>
      <c r="C23" s="172"/>
      <c r="D23" s="172"/>
      <c r="E23" s="357"/>
      <c r="F23" s="358"/>
      <c r="G23" s="358"/>
      <c r="H23" s="359"/>
      <c r="I23" s="209"/>
      <c r="J23" s="172"/>
      <c r="K23" s="175"/>
      <c r="L23" s="175"/>
      <c r="M23" s="175"/>
      <c r="N23" s="360"/>
      <c r="O23" s="360"/>
      <c r="P23" s="360"/>
      <c r="Q23" s="360"/>
      <c r="R23" s="170"/>
      <c r="S23" s="170"/>
      <c r="T23" s="170"/>
      <c r="U23" s="170"/>
      <c r="V23" s="170"/>
      <c r="W23" s="172"/>
      <c r="X23" s="171"/>
    </row>
    <row r="24" spans="1:24" ht="15.75">
      <c r="A24" s="169"/>
      <c r="B24" s="173"/>
      <c r="C24" s="172"/>
      <c r="D24" s="172"/>
      <c r="E24" s="357"/>
      <c r="F24" s="358"/>
      <c r="G24" s="358"/>
      <c r="H24" s="359"/>
      <c r="I24" s="209"/>
      <c r="J24" s="172"/>
      <c r="K24" s="175"/>
      <c r="L24" s="175"/>
      <c r="M24" s="175"/>
      <c r="N24" s="360"/>
      <c r="O24" s="360"/>
      <c r="P24" s="360"/>
      <c r="Q24" s="360"/>
      <c r="R24" s="170"/>
      <c r="S24" s="170"/>
      <c r="T24" s="170"/>
      <c r="U24" s="170"/>
      <c r="V24" s="170"/>
      <c r="W24" s="172"/>
      <c r="X24" s="171"/>
    </row>
    <row r="25" spans="1:24" ht="15.75">
      <c r="A25" s="169"/>
      <c r="B25" s="173"/>
      <c r="C25" s="172"/>
      <c r="D25" s="172"/>
      <c r="E25" s="357"/>
      <c r="F25" s="358"/>
      <c r="G25" s="358"/>
      <c r="H25" s="359"/>
      <c r="I25" s="209"/>
      <c r="J25" s="172"/>
      <c r="K25" s="175"/>
      <c r="L25" s="175"/>
      <c r="M25" s="175"/>
      <c r="N25" s="360"/>
      <c r="O25" s="360"/>
      <c r="P25" s="360"/>
      <c r="Q25" s="360"/>
      <c r="R25" s="170"/>
      <c r="S25" s="170"/>
      <c r="T25" s="170"/>
      <c r="U25" s="170"/>
      <c r="V25" s="170"/>
      <c r="W25" s="172"/>
      <c r="X25" s="171"/>
    </row>
    <row r="26" spans="1:24" ht="15.75">
      <c r="A26" s="169"/>
      <c r="B26" s="173"/>
      <c r="C26" s="172"/>
      <c r="D26" s="172"/>
      <c r="E26" s="357"/>
      <c r="F26" s="358"/>
      <c r="G26" s="358"/>
      <c r="H26" s="359"/>
      <c r="I26" s="209"/>
      <c r="J26" s="172"/>
      <c r="K26" s="175"/>
      <c r="L26" s="175"/>
      <c r="M26" s="175"/>
      <c r="N26" s="360"/>
      <c r="O26" s="360"/>
      <c r="P26" s="360"/>
      <c r="Q26" s="360"/>
      <c r="R26" s="170"/>
      <c r="S26" s="170"/>
      <c r="T26" s="170"/>
      <c r="U26" s="170"/>
      <c r="V26" s="170"/>
      <c r="W26" s="172"/>
      <c r="X26" s="171"/>
    </row>
    <row r="27" spans="1:24" ht="15.75">
      <c r="A27" s="169"/>
      <c r="B27" s="173"/>
      <c r="C27" s="172"/>
      <c r="D27" s="172"/>
      <c r="E27" s="357"/>
      <c r="F27" s="358"/>
      <c r="G27" s="358"/>
      <c r="H27" s="359"/>
      <c r="I27" s="209"/>
      <c r="J27" s="172"/>
      <c r="K27" s="175"/>
      <c r="L27" s="175"/>
      <c r="M27" s="175"/>
      <c r="N27" s="360"/>
      <c r="O27" s="360"/>
      <c r="P27" s="360"/>
      <c r="Q27" s="360"/>
      <c r="R27" s="170"/>
      <c r="S27" s="170"/>
      <c r="T27" s="170"/>
      <c r="U27" s="170"/>
      <c r="V27" s="170"/>
      <c r="W27" s="172"/>
      <c r="X27" s="171"/>
    </row>
    <row r="28" spans="1:24" ht="15.75">
      <c r="A28" s="169"/>
      <c r="B28" s="173"/>
      <c r="C28" s="172"/>
      <c r="D28" s="172"/>
      <c r="E28" s="357"/>
      <c r="F28" s="358"/>
      <c r="G28" s="358"/>
      <c r="H28" s="359"/>
      <c r="I28" s="209"/>
      <c r="J28" s="172"/>
      <c r="K28" s="175"/>
      <c r="L28" s="175"/>
      <c r="M28" s="175"/>
      <c r="N28" s="360"/>
      <c r="O28" s="360"/>
      <c r="P28" s="360"/>
      <c r="Q28" s="360"/>
      <c r="R28" s="170"/>
      <c r="S28" s="170"/>
      <c r="T28" s="170"/>
      <c r="U28" s="170"/>
      <c r="V28" s="170"/>
      <c r="W28" s="172"/>
      <c r="X28" s="171"/>
    </row>
    <row r="29" spans="1:24" ht="15.75">
      <c r="A29" s="169"/>
      <c r="B29" s="173"/>
      <c r="C29" s="172"/>
      <c r="D29" s="172"/>
      <c r="E29" s="357"/>
      <c r="F29" s="358"/>
      <c r="G29" s="358"/>
      <c r="H29" s="359"/>
      <c r="I29" s="209"/>
      <c r="J29" s="172"/>
      <c r="K29" s="175"/>
      <c r="L29" s="175"/>
      <c r="M29" s="175"/>
      <c r="N29" s="360"/>
      <c r="O29" s="360"/>
      <c r="P29" s="360"/>
      <c r="Q29" s="360"/>
      <c r="R29" s="170"/>
      <c r="S29" s="170"/>
      <c r="T29" s="170"/>
      <c r="U29" s="170"/>
      <c r="V29" s="170"/>
      <c r="W29" s="172"/>
      <c r="X29" s="171"/>
    </row>
    <row r="30" spans="1:24" ht="15.75">
      <c r="A30" s="169"/>
      <c r="B30" s="173"/>
      <c r="C30" s="172"/>
      <c r="D30" s="172"/>
      <c r="E30" s="357"/>
      <c r="F30" s="358"/>
      <c r="G30" s="358"/>
      <c r="H30" s="359"/>
      <c r="I30" s="209"/>
      <c r="J30" s="172"/>
      <c r="K30" s="175"/>
      <c r="L30" s="175"/>
      <c r="M30" s="175"/>
      <c r="N30" s="360"/>
      <c r="O30" s="360"/>
      <c r="P30" s="360"/>
      <c r="Q30" s="360"/>
      <c r="R30" s="170"/>
      <c r="S30" s="170"/>
      <c r="T30" s="170"/>
      <c r="U30" s="170"/>
      <c r="V30" s="170"/>
      <c r="W30" s="172"/>
      <c r="X30" s="171"/>
    </row>
    <row r="31" spans="1:24" ht="15.75">
      <c r="A31" s="169"/>
      <c r="B31" s="173"/>
      <c r="C31" s="172"/>
      <c r="D31" s="172"/>
      <c r="E31" s="357"/>
      <c r="F31" s="358"/>
      <c r="G31" s="358"/>
      <c r="H31" s="359"/>
      <c r="I31" s="209"/>
      <c r="J31" s="172"/>
      <c r="K31" s="175"/>
      <c r="L31" s="175"/>
      <c r="M31" s="175"/>
      <c r="N31" s="360"/>
      <c r="O31" s="360"/>
      <c r="P31" s="360"/>
      <c r="Q31" s="360"/>
      <c r="R31" s="170"/>
      <c r="S31" s="170"/>
      <c r="T31" s="170"/>
      <c r="U31" s="170"/>
      <c r="V31" s="170"/>
      <c r="W31" s="172"/>
      <c r="X31" s="171"/>
    </row>
    <row r="32" spans="1:24" ht="15.75">
      <c r="A32" s="169"/>
      <c r="B32" s="173"/>
      <c r="C32" s="172"/>
      <c r="D32" s="172"/>
      <c r="E32" s="357"/>
      <c r="F32" s="358"/>
      <c r="G32" s="358"/>
      <c r="H32" s="359"/>
      <c r="I32" s="209"/>
      <c r="J32" s="172"/>
      <c r="K32" s="175"/>
      <c r="L32" s="175"/>
      <c r="M32" s="175"/>
      <c r="N32" s="360"/>
      <c r="O32" s="360"/>
      <c r="P32" s="360"/>
      <c r="Q32" s="360"/>
      <c r="R32" s="170"/>
      <c r="S32" s="170"/>
      <c r="T32" s="170"/>
      <c r="U32" s="170"/>
      <c r="V32" s="170"/>
      <c r="W32" s="172"/>
      <c r="X32" s="171"/>
    </row>
    <row r="33" spans="1:24" ht="15.75">
      <c r="A33" s="169"/>
      <c r="B33" s="173"/>
      <c r="C33" s="172"/>
      <c r="D33" s="172"/>
      <c r="E33" s="357"/>
      <c r="F33" s="358"/>
      <c r="G33" s="358"/>
      <c r="H33" s="359"/>
      <c r="I33" s="209"/>
      <c r="J33" s="172"/>
      <c r="K33" s="175"/>
      <c r="L33" s="175"/>
      <c r="M33" s="175"/>
      <c r="N33" s="360"/>
      <c r="O33" s="360"/>
      <c r="P33" s="360"/>
      <c r="Q33" s="360"/>
      <c r="R33" s="170"/>
      <c r="S33" s="170"/>
      <c r="T33" s="170"/>
      <c r="U33" s="170"/>
      <c r="V33" s="170"/>
      <c r="W33" s="172"/>
      <c r="X33" s="171"/>
    </row>
    <row r="34" spans="1:24" ht="15.75">
      <c r="A34" s="169"/>
      <c r="B34" s="173"/>
      <c r="C34" s="172"/>
      <c r="D34" s="172"/>
      <c r="E34" s="357"/>
      <c r="F34" s="358"/>
      <c r="G34" s="358"/>
      <c r="H34" s="359"/>
      <c r="I34" s="209"/>
      <c r="J34" s="172"/>
      <c r="K34" s="175"/>
      <c r="L34" s="175"/>
      <c r="M34" s="175"/>
      <c r="N34" s="360"/>
      <c r="O34" s="360"/>
      <c r="P34" s="360"/>
      <c r="Q34" s="360"/>
      <c r="R34" s="170"/>
      <c r="S34" s="170"/>
      <c r="T34" s="170"/>
      <c r="U34" s="170"/>
      <c r="V34" s="170"/>
      <c r="W34" s="172"/>
      <c r="X34" s="171"/>
    </row>
    <row r="35" spans="1:24" ht="15.75">
      <c r="A35" s="169"/>
      <c r="B35" s="173"/>
      <c r="C35" s="172"/>
      <c r="D35" s="172"/>
      <c r="E35" s="357"/>
      <c r="F35" s="358"/>
      <c r="G35" s="358"/>
      <c r="H35" s="359"/>
      <c r="I35" s="209"/>
      <c r="J35" s="172"/>
      <c r="K35" s="175"/>
      <c r="L35" s="175"/>
      <c r="M35" s="175"/>
      <c r="N35" s="360"/>
      <c r="O35" s="360"/>
      <c r="P35" s="360"/>
      <c r="Q35" s="360"/>
      <c r="R35" s="170"/>
      <c r="S35" s="170"/>
      <c r="T35" s="170"/>
      <c r="U35" s="170"/>
      <c r="V35" s="170"/>
      <c r="W35" s="172"/>
      <c r="X35" s="171"/>
    </row>
    <row r="36" spans="1:24" ht="15.75">
      <c r="A36" s="169"/>
      <c r="B36" s="173"/>
      <c r="C36" s="172"/>
      <c r="D36" s="172"/>
      <c r="E36" s="357"/>
      <c r="F36" s="358"/>
      <c r="G36" s="358"/>
      <c r="H36" s="359"/>
      <c r="I36" s="209"/>
      <c r="J36" s="172"/>
      <c r="K36" s="175"/>
      <c r="L36" s="175"/>
      <c r="M36" s="175"/>
      <c r="N36" s="360"/>
      <c r="O36" s="360"/>
      <c r="P36" s="360"/>
      <c r="Q36" s="360"/>
      <c r="R36" s="170"/>
      <c r="S36" s="170"/>
      <c r="T36" s="170"/>
      <c r="U36" s="170"/>
      <c r="V36" s="170"/>
      <c r="W36" s="172"/>
      <c r="X36" s="171"/>
    </row>
    <row r="37" spans="1:24" ht="15.75">
      <c r="A37" s="169"/>
      <c r="B37" s="173"/>
      <c r="C37" s="172"/>
      <c r="D37" s="172"/>
      <c r="E37" s="357"/>
      <c r="F37" s="358"/>
      <c r="G37" s="358"/>
      <c r="H37" s="359"/>
      <c r="I37" s="209"/>
      <c r="J37" s="172"/>
      <c r="K37" s="175"/>
      <c r="L37" s="175"/>
      <c r="M37" s="175"/>
      <c r="N37" s="360"/>
      <c r="O37" s="360"/>
      <c r="P37" s="360"/>
      <c r="Q37" s="360"/>
      <c r="R37" s="170"/>
      <c r="S37" s="170"/>
      <c r="T37" s="170"/>
      <c r="U37" s="170"/>
      <c r="V37" s="170"/>
      <c r="W37" s="172"/>
      <c r="X37" s="171"/>
    </row>
    <row r="38" spans="1:24" ht="15.75">
      <c r="A38" s="169"/>
      <c r="B38" s="173"/>
      <c r="C38" s="172"/>
      <c r="D38" s="172"/>
      <c r="E38" s="357"/>
      <c r="F38" s="358"/>
      <c r="G38" s="358"/>
      <c r="H38" s="359"/>
      <c r="I38" s="209"/>
      <c r="J38" s="172"/>
      <c r="K38" s="175"/>
      <c r="L38" s="175"/>
      <c r="M38" s="175"/>
      <c r="N38" s="360"/>
      <c r="O38" s="360"/>
      <c r="P38" s="360"/>
      <c r="Q38" s="360"/>
      <c r="R38" s="170"/>
      <c r="S38" s="170"/>
      <c r="T38" s="170"/>
      <c r="U38" s="170"/>
      <c r="V38" s="170"/>
      <c r="W38" s="172"/>
      <c r="X38" s="171"/>
    </row>
    <row r="39" spans="1:24" ht="15.75">
      <c r="A39" s="169"/>
      <c r="B39" s="173"/>
      <c r="C39" s="172"/>
      <c r="D39" s="172"/>
      <c r="E39" s="357"/>
      <c r="F39" s="358"/>
      <c r="G39" s="358"/>
      <c r="H39" s="359"/>
      <c r="I39" s="209"/>
      <c r="J39" s="172"/>
      <c r="K39" s="175"/>
      <c r="L39" s="175"/>
      <c r="M39" s="175"/>
      <c r="N39" s="360"/>
      <c r="O39" s="360"/>
      <c r="P39" s="360"/>
      <c r="Q39" s="360"/>
      <c r="R39" s="170"/>
      <c r="S39" s="170"/>
      <c r="T39" s="170"/>
      <c r="U39" s="170"/>
      <c r="V39" s="170"/>
      <c r="W39" s="172"/>
      <c r="X39" s="171"/>
    </row>
    <row r="40" spans="1:24" ht="15.75">
      <c r="A40" s="169"/>
      <c r="B40" s="173"/>
      <c r="C40" s="172"/>
      <c r="D40" s="172"/>
      <c r="E40" s="357"/>
      <c r="F40" s="358"/>
      <c r="G40" s="358"/>
      <c r="H40" s="359"/>
      <c r="I40" s="209"/>
      <c r="J40" s="172"/>
      <c r="K40" s="175"/>
      <c r="L40" s="175"/>
      <c r="M40" s="175"/>
      <c r="N40" s="360"/>
      <c r="O40" s="360"/>
      <c r="P40" s="360"/>
      <c r="Q40" s="360"/>
      <c r="R40" s="170"/>
      <c r="S40" s="170"/>
      <c r="T40" s="170"/>
      <c r="U40" s="170"/>
      <c r="V40" s="170"/>
      <c r="W40" s="172"/>
      <c r="X40" s="171"/>
    </row>
    <row r="41" spans="1:24" ht="15.75">
      <c r="A41" s="169"/>
      <c r="B41" s="173"/>
      <c r="C41" s="172"/>
      <c r="D41" s="172"/>
      <c r="E41" s="357"/>
      <c r="F41" s="358"/>
      <c r="G41" s="358"/>
      <c r="H41" s="359"/>
      <c r="I41" s="209"/>
      <c r="J41" s="172"/>
      <c r="K41" s="175"/>
      <c r="L41" s="175"/>
      <c r="M41" s="175"/>
      <c r="N41" s="360"/>
      <c r="O41" s="360"/>
      <c r="P41" s="360"/>
      <c r="Q41" s="360"/>
      <c r="R41" s="170"/>
      <c r="S41" s="170"/>
      <c r="T41" s="170"/>
      <c r="U41" s="170"/>
      <c r="V41" s="170"/>
      <c r="W41" s="172"/>
      <c r="X41" s="171"/>
    </row>
    <row r="42" spans="1:24" ht="15.75">
      <c r="A42" s="169"/>
      <c r="B42" s="173"/>
      <c r="C42" s="172"/>
      <c r="D42" s="172"/>
      <c r="E42" s="357"/>
      <c r="F42" s="358"/>
      <c r="G42" s="358"/>
      <c r="H42" s="359"/>
      <c r="I42" s="209"/>
      <c r="J42" s="172"/>
      <c r="K42" s="175"/>
      <c r="L42" s="175"/>
      <c r="M42" s="175"/>
      <c r="N42" s="360"/>
      <c r="O42" s="360"/>
      <c r="P42" s="360"/>
      <c r="Q42" s="360"/>
      <c r="R42" s="170"/>
      <c r="S42" s="170"/>
      <c r="T42" s="170"/>
      <c r="U42" s="170"/>
      <c r="V42" s="170"/>
      <c r="W42" s="172"/>
      <c r="X42" s="171"/>
    </row>
    <row r="43" spans="1:24" ht="15.75">
      <c r="A43" s="169"/>
      <c r="B43" s="173"/>
      <c r="C43" s="172"/>
      <c r="D43" s="172"/>
      <c r="E43" s="357"/>
      <c r="F43" s="358"/>
      <c r="G43" s="358"/>
      <c r="H43" s="359"/>
      <c r="I43" s="209"/>
      <c r="J43" s="172"/>
      <c r="K43" s="175"/>
      <c r="L43" s="175"/>
      <c r="M43" s="175"/>
      <c r="N43" s="360"/>
      <c r="O43" s="360"/>
      <c r="P43" s="360"/>
      <c r="Q43" s="360"/>
      <c r="R43" s="170"/>
      <c r="S43" s="170"/>
      <c r="T43" s="170"/>
      <c r="U43" s="170"/>
      <c r="V43" s="170"/>
      <c r="W43" s="172"/>
      <c r="X43" s="171"/>
    </row>
    <row r="44" spans="1:24" ht="15.75">
      <c r="A44" s="169"/>
      <c r="B44" s="173"/>
      <c r="C44" s="172"/>
      <c r="D44" s="172"/>
      <c r="E44" s="357"/>
      <c r="F44" s="358"/>
      <c r="G44" s="358"/>
      <c r="H44" s="359"/>
      <c r="I44" s="209"/>
      <c r="J44" s="172"/>
      <c r="K44" s="175"/>
      <c r="L44" s="175"/>
      <c r="M44" s="175"/>
      <c r="N44" s="360"/>
      <c r="O44" s="360"/>
      <c r="P44" s="360"/>
      <c r="Q44" s="360"/>
      <c r="R44" s="170"/>
      <c r="S44" s="170"/>
      <c r="T44" s="170"/>
      <c r="U44" s="170"/>
      <c r="V44" s="170"/>
      <c r="W44" s="172"/>
      <c r="X44" s="171"/>
    </row>
    <row r="45" spans="1:24" ht="15.75">
      <c r="A45" s="169"/>
      <c r="B45" s="173"/>
      <c r="C45" s="172"/>
      <c r="D45" s="172"/>
      <c r="E45" s="357"/>
      <c r="F45" s="358"/>
      <c r="G45" s="358"/>
      <c r="H45" s="359"/>
      <c r="I45" s="209"/>
      <c r="J45" s="172"/>
      <c r="K45" s="175"/>
      <c r="L45" s="175"/>
      <c r="M45" s="175"/>
      <c r="N45" s="360"/>
      <c r="O45" s="360"/>
      <c r="P45" s="360"/>
      <c r="Q45" s="360"/>
      <c r="R45" s="170"/>
      <c r="S45" s="170"/>
      <c r="T45" s="170"/>
      <c r="U45" s="170"/>
      <c r="V45" s="170"/>
      <c r="W45" s="172"/>
      <c r="X45" s="171"/>
    </row>
    <row r="46" spans="1:24" ht="15.75">
      <c r="A46" s="169"/>
      <c r="B46" s="173"/>
      <c r="C46" s="172"/>
      <c r="D46" s="172"/>
      <c r="E46" s="357"/>
      <c r="F46" s="358"/>
      <c r="G46" s="358"/>
      <c r="H46" s="359"/>
      <c r="I46" s="209"/>
      <c r="J46" s="172"/>
      <c r="K46" s="175"/>
      <c r="L46" s="175"/>
      <c r="M46" s="175"/>
      <c r="N46" s="360"/>
      <c r="O46" s="360"/>
      <c r="P46" s="360"/>
      <c r="Q46" s="360"/>
      <c r="R46" s="170"/>
      <c r="S46" s="170"/>
      <c r="T46" s="170"/>
      <c r="U46" s="170"/>
      <c r="V46" s="170"/>
      <c r="W46" s="172"/>
      <c r="X46" s="171"/>
    </row>
    <row r="47" spans="1:24" ht="15.75">
      <c r="A47" s="169"/>
      <c r="B47" s="173"/>
      <c r="C47" s="172"/>
      <c r="D47" s="172"/>
      <c r="E47" s="357"/>
      <c r="F47" s="358"/>
      <c r="G47" s="358"/>
      <c r="H47" s="359"/>
      <c r="I47" s="209"/>
      <c r="J47" s="172"/>
      <c r="K47" s="175"/>
      <c r="L47" s="175"/>
      <c r="M47" s="175"/>
      <c r="N47" s="360"/>
      <c r="O47" s="360"/>
      <c r="P47" s="360"/>
      <c r="Q47" s="360"/>
      <c r="R47" s="170"/>
      <c r="S47" s="170"/>
      <c r="T47" s="170"/>
      <c r="U47" s="170"/>
      <c r="V47" s="170"/>
      <c r="W47" s="172"/>
      <c r="X47" s="171"/>
    </row>
    <row r="48" spans="1:24" ht="15.75">
      <c r="A48" s="169"/>
      <c r="B48" s="173"/>
      <c r="C48" s="172"/>
      <c r="D48" s="172"/>
      <c r="E48" s="357"/>
      <c r="F48" s="358"/>
      <c r="G48" s="358"/>
      <c r="H48" s="359"/>
      <c r="I48" s="209"/>
      <c r="J48" s="172"/>
      <c r="K48" s="175"/>
      <c r="L48" s="175"/>
      <c r="M48" s="175"/>
      <c r="N48" s="360"/>
      <c r="O48" s="360"/>
      <c r="P48" s="360"/>
      <c r="Q48" s="360"/>
      <c r="R48" s="170"/>
      <c r="S48" s="170"/>
      <c r="T48" s="170"/>
      <c r="U48" s="170"/>
      <c r="V48" s="170"/>
      <c r="W48" s="172"/>
      <c r="X48" s="171"/>
    </row>
    <row r="49" spans="1:24" ht="15.75">
      <c r="A49" s="169"/>
      <c r="B49" s="173"/>
      <c r="C49" s="172"/>
      <c r="D49" s="172"/>
      <c r="E49" s="357"/>
      <c r="F49" s="358"/>
      <c r="G49" s="358"/>
      <c r="H49" s="359"/>
      <c r="I49" s="209"/>
      <c r="J49" s="172"/>
      <c r="K49" s="175"/>
      <c r="L49" s="175"/>
      <c r="M49" s="175"/>
      <c r="N49" s="360"/>
      <c r="O49" s="360"/>
      <c r="P49" s="360"/>
      <c r="Q49" s="360"/>
      <c r="R49" s="170"/>
      <c r="S49" s="170"/>
      <c r="T49" s="170"/>
      <c r="U49" s="170"/>
      <c r="V49" s="170"/>
      <c r="W49" s="172"/>
      <c r="X49" s="171"/>
    </row>
    <row r="50" spans="1:24" ht="15.75">
      <c r="A50" s="169"/>
      <c r="B50" s="173"/>
      <c r="C50" s="172"/>
      <c r="D50" s="172"/>
      <c r="E50" s="357"/>
      <c r="F50" s="358"/>
      <c r="G50" s="358"/>
      <c r="H50" s="359"/>
      <c r="I50" s="209"/>
      <c r="J50" s="172"/>
      <c r="K50" s="175"/>
      <c r="L50" s="175"/>
      <c r="M50" s="175"/>
      <c r="N50" s="360"/>
      <c r="O50" s="360"/>
      <c r="P50" s="360"/>
      <c r="Q50" s="360"/>
      <c r="R50" s="170"/>
      <c r="S50" s="170"/>
      <c r="T50" s="170"/>
      <c r="U50" s="170"/>
      <c r="V50" s="170"/>
      <c r="W50" s="172"/>
      <c r="X50" s="171"/>
    </row>
    <row r="51" spans="1:24" ht="15.75">
      <c r="A51" s="169"/>
      <c r="B51" s="173"/>
      <c r="C51" s="172"/>
      <c r="D51" s="172"/>
      <c r="E51" s="357"/>
      <c r="F51" s="358"/>
      <c r="G51" s="358"/>
      <c r="H51" s="359"/>
      <c r="I51" s="209"/>
      <c r="J51" s="172"/>
      <c r="K51" s="175"/>
      <c r="L51" s="175"/>
      <c r="M51" s="175"/>
      <c r="N51" s="360"/>
      <c r="O51" s="360"/>
      <c r="P51" s="360"/>
      <c r="Q51" s="360"/>
      <c r="R51" s="170"/>
      <c r="S51" s="170"/>
      <c r="T51" s="170"/>
      <c r="U51" s="170"/>
      <c r="V51" s="170"/>
      <c r="W51" s="172"/>
      <c r="X51" s="171"/>
    </row>
    <row r="52" spans="1:24" ht="15.75">
      <c r="A52" s="169"/>
      <c r="B52" s="173"/>
      <c r="C52" s="172"/>
      <c r="D52" s="172"/>
      <c r="E52" s="357"/>
      <c r="F52" s="358"/>
      <c r="G52" s="358"/>
      <c r="H52" s="359"/>
      <c r="I52" s="209"/>
      <c r="J52" s="172"/>
      <c r="K52" s="175"/>
      <c r="L52" s="175"/>
      <c r="M52" s="175"/>
      <c r="N52" s="360"/>
      <c r="O52" s="360"/>
      <c r="P52" s="360"/>
      <c r="Q52" s="360"/>
      <c r="R52" s="170"/>
      <c r="S52" s="170"/>
      <c r="T52" s="170"/>
      <c r="U52" s="170"/>
      <c r="V52" s="170"/>
      <c r="W52" s="172"/>
      <c r="X52" s="171"/>
    </row>
    <row r="53" spans="1:24" ht="15.75">
      <c r="A53" s="169"/>
      <c r="B53" s="173"/>
      <c r="C53" s="172"/>
      <c r="D53" s="172"/>
      <c r="E53" s="357"/>
      <c r="F53" s="358"/>
      <c r="G53" s="358"/>
      <c r="H53" s="359"/>
      <c r="I53" s="209"/>
      <c r="J53" s="172"/>
      <c r="K53" s="175"/>
      <c r="L53" s="175"/>
      <c r="M53" s="175"/>
      <c r="N53" s="360"/>
      <c r="O53" s="360"/>
      <c r="P53" s="360"/>
      <c r="Q53" s="360"/>
      <c r="R53" s="170"/>
      <c r="S53" s="170"/>
      <c r="T53" s="170"/>
      <c r="U53" s="170"/>
      <c r="V53" s="170"/>
      <c r="W53" s="172"/>
      <c r="X53" s="171"/>
    </row>
    <row r="54" spans="1:24" ht="15.75">
      <c r="A54" s="169"/>
      <c r="B54" s="173"/>
      <c r="C54" s="172"/>
      <c r="D54" s="172"/>
      <c r="E54" s="357"/>
      <c r="F54" s="358"/>
      <c r="G54" s="358"/>
      <c r="H54" s="359"/>
      <c r="I54" s="209"/>
      <c r="J54" s="172"/>
      <c r="K54" s="175"/>
      <c r="L54" s="175"/>
      <c r="M54" s="175"/>
      <c r="N54" s="360"/>
      <c r="O54" s="360"/>
      <c r="P54" s="360"/>
      <c r="Q54" s="360"/>
      <c r="R54" s="170"/>
      <c r="S54" s="170"/>
      <c r="T54" s="170"/>
      <c r="U54" s="170"/>
      <c r="V54" s="170"/>
      <c r="W54" s="172"/>
      <c r="X54" s="171"/>
    </row>
    <row r="55" spans="1:24" ht="15.75">
      <c r="A55" s="169"/>
      <c r="B55" s="173"/>
      <c r="C55" s="172"/>
      <c r="D55" s="172"/>
      <c r="E55" s="357"/>
      <c r="F55" s="358"/>
      <c r="G55" s="358"/>
      <c r="H55" s="359"/>
      <c r="I55" s="209"/>
      <c r="J55" s="172"/>
      <c r="K55" s="175"/>
      <c r="L55" s="175"/>
      <c r="M55" s="175"/>
      <c r="N55" s="360"/>
      <c r="O55" s="360"/>
      <c r="P55" s="360"/>
      <c r="Q55" s="360"/>
      <c r="R55" s="170"/>
      <c r="S55" s="170"/>
      <c r="T55" s="170"/>
      <c r="U55" s="170"/>
      <c r="V55" s="170"/>
      <c r="W55" s="172"/>
      <c r="X55" s="171"/>
    </row>
    <row r="56" spans="1:24" ht="15.75">
      <c r="A56" s="169"/>
      <c r="B56" s="173"/>
      <c r="C56" s="172"/>
      <c r="D56" s="172"/>
      <c r="E56" s="357"/>
      <c r="F56" s="358"/>
      <c r="G56" s="358"/>
      <c r="H56" s="359"/>
      <c r="I56" s="209"/>
      <c r="J56" s="172"/>
      <c r="K56" s="175"/>
      <c r="L56" s="175"/>
      <c r="M56" s="175"/>
      <c r="N56" s="360"/>
      <c r="O56" s="360"/>
      <c r="P56" s="360"/>
      <c r="Q56" s="360"/>
      <c r="R56" s="170"/>
      <c r="S56" s="170"/>
      <c r="T56" s="170"/>
      <c r="U56" s="170"/>
      <c r="V56" s="170"/>
      <c r="W56" s="172"/>
      <c r="X56" s="171"/>
    </row>
    <row r="57" spans="1:24" ht="15.75">
      <c r="A57" s="169"/>
      <c r="B57" s="173"/>
      <c r="C57" s="172"/>
      <c r="D57" s="172"/>
      <c r="E57" s="357"/>
      <c r="F57" s="358"/>
      <c r="G57" s="358"/>
      <c r="H57" s="359"/>
      <c r="I57" s="209"/>
      <c r="J57" s="172"/>
      <c r="K57" s="175"/>
      <c r="L57" s="175"/>
      <c r="M57" s="175"/>
      <c r="N57" s="360"/>
      <c r="O57" s="360"/>
      <c r="P57" s="360"/>
      <c r="Q57" s="360"/>
      <c r="R57" s="170"/>
      <c r="S57" s="170"/>
      <c r="T57" s="170"/>
      <c r="U57" s="170"/>
      <c r="V57" s="170"/>
      <c r="W57" s="172"/>
      <c r="X57" s="171"/>
    </row>
    <row r="58" spans="1:24" ht="15.75">
      <c r="A58" s="169"/>
      <c r="B58" s="173"/>
      <c r="C58" s="172"/>
      <c r="D58" s="172"/>
      <c r="E58" s="357"/>
      <c r="F58" s="358"/>
      <c r="G58" s="358"/>
      <c r="H58" s="359"/>
      <c r="I58" s="209"/>
      <c r="J58" s="172"/>
      <c r="K58" s="175"/>
      <c r="L58" s="175"/>
      <c r="M58" s="175"/>
      <c r="N58" s="360"/>
      <c r="O58" s="360"/>
      <c r="P58" s="360"/>
      <c r="Q58" s="360"/>
      <c r="R58" s="170"/>
      <c r="S58" s="170"/>
      <c r="T58" s="170"/>
      <c r="U58" s="170"/>
      <c r="V58" s="170"/>
      <c r="W58" s="172"/>
      <c r="X58" s="171"/>
    </row>
    <row r="59" spans="1:24" ht="15.75">
      <c r="A59" s="169"/>
      <c r="B59" s="173"/>
      <c r="C59" s="172"/>
      <c r="D59" s="172"/>
      <c r="E59" s="357"/>
      <c r="F59" s="358"/>
      <c r="G59" s="358"/>
      <c r="H59" s="359"/>
      <c r="I59" s="209"/>
      <c r="J59" s="172"/>
      <c r="K59" s="175"/>
      <c r="L59" s="175"/>
      <c r="M59" s="175"/>
      <c r="N59" s="360"/>
      <c r="O59" s="360"/>
      <c r="P59" s="360"/>
      <c r="Q59" s="360"/>
      <c r="R59" s="170"/>
      <c r="S59" s="170"/>
      <c r="T59" s="170"/>
      <c r="U59" s="170"/>
      <c r="V59" s="170"/>
      <c r="W59" s="172"/>
      <c r="X59" s="171"/>
    </row>
    <row r="60" spans="1:24" ht="15.75">
      <c r="A60" s="169"/>
      <c r="B60" s="173"/>
      <c r="C60" s="172"/>
      <c r="D60" s="172"/>
      <c r="E60" s="357"/>
      <c r="F60" s="358"/>
      <c r="G60" s="358"/>
      <c r="H60" s="359"/>
      <c r="I60" s="209"/>
      <c r="J60" s="172"/>
      <c r="K60" s="175"/>
      <c r="L60" s="175"/>
      <c r="M60" s="175"/>
      <c r="N60" s="360"/>
      <c r="O60" s="360"/>
      <c r="P60" s="360"/>
      <c r="Q60" s="360"/>
      <c r="R60" s="170"/>
      <c r="S60" s="170"/>
      <c r="T60" s="170"/>
      <c r="U60" s="170"/>
      <c r="V60" s="170"/>
      <c r="W60" s="172"/>
      <c r="X60" s="171"/>
    </row>
    <row r="61" spans="1:24" ht="15.75">
      <c r="A61" s="169"/>
      <c r="B61" s="173"/>
      <c r="C61" s="172"/>
      <c r="D61" s="172"/>
      <c r="E61" s="357"/>
      <c r="F61" s="358"/>
      <c r="G61" s="358"/>
      <c r="H61" s="359"/>
      <c r="I61" s="209"/>
      <c r="J61" s="172"/>
      <c r="K61" s="175"/>
      <c r="L61" s="175"/>
      <c r="M61" s="175"/>
      <c r="N61" s="360"/>
      <c r="O61" s="360"/>
      <c r="P61" s="360"/>
      <c r="Q61" s="360"/>
      <c r="R61" s="170"/>
      <c r="S61" s="170"/>
      <c r="T61" s="170"/>
      <c r="U61" s="170"/>
      <c r="V61" s="170"/>
      <c r="W61" s="172"/>
      <c r="X61" s="171"/>
    </row>
    <row r="62" spans="1:24" ht="15.75">
      <c r="A62" s="169"/>
      <c r="B62" s="173"/>
      <c r="C62" s="172"/>
      <c r="D62" s="172"/>
      <c r="E62" s="357"/>
      <c r="F62" s="358"/>
      <c r="G62" s="358"/>
      <c r="H62" s="359"/>
      <c r="I62" s="209"/>
      <c r="J62" s="172"/>
      <c r="K62" s="175"/>
      <c r="L62" s="175"/>
      <c r="M62" s="175"/>
      <c r="N62" s="360"/>
      <c r="O62" s="360"/>
      <c r="P62" s="360"/>
      <c r="Q62" s="360"/>
      <c r="R62" s="170"/>
      <c r="S62" s="170"/>
      <c r="T62" s="170"/>
      <c r="U62" s="170"/>
      <c r="V62" s="170"/>
      <c r="W62" s="172"/>
      <c r="X62" s="171"/>
    </row>
    <row r="63" spans="1:24" ht="15.75">
      <c r="A63" s="169"/>
      <c r="B63" s="173"/>
      <c r="C63" s="172"/>
      <c r="D63" s="172"/>
      <c r="E63" s="357"/>
      <c r="F63" s="358"/>
      <c r="G63" s="358"/>
      <c r="H63" s="359"/>
      <c r="I63" s="209"/>
      <c r="J63" s="172"/>
      <c r="K63" s="175"/>
      <c r="L63" s="175"/>
      <c r="M63" s="175"/>
      <c r="N63" s="360"/>
      <c r="O63" s="360"/>
      <c r="P63" s="360"/>
      <c r="Q63" s="360"/>
      <c r="R63" s="170"/>
      <c r="S63" s="170"/>
      <c r="T63" s="170"/>
      <c r="U63" s="170"/>
      <c r="V63" s="170"/>
      <c r="W63" s="172"/>
      <c r="X63" s="171"/>
    </row>
    <row r="64" spans="1:24" ht="15.75">
      <c r="A64" s="169"/>
      <c r="B64" s="173"/>
      <c r="C64" s="172"/>
      <c r="D64" s="172"/>
      <c r="E64" s="357"/>
      <c r="F64" s="358"/>
      <c r="G64" s="358"/>
      <c r="H64" s="359"/>
      <c r="I64" s="209"/>
      <c r="J64" s="172"/>
      <c r="K64" s="175"/>
      <c r="L64" s="175"/>
      <c r="M64" s="175"/>
      <c r="N64" s="360"/>
      <c r="O64" s="360"/>
      <c r="P64" s="360"/>
      <c r="Q64" s="360"/>
      <c r="R64" s="170"/>
      <c r="S64" s="170"/>
      <c r="T64" s="170"/>
      <c r="U64" s="170"/>
      <c r="V64" s="170"/>
      <c r="W64" s="172"/>
      <c r="X64" s="171"/>
    </row>
    <row r="65" spans="1:24" ht="15.75">
      <c r="A65" s="169"/>
      <c r="B65" s="173"/>
      <c r="C65" s="172"/>
      <c r="D65" s="172"/>
      <c r="E65" s="357"/>
      <c r="F65" s="358"/>
      <c r="G65" s="358"/>
      <c r="H65" s="359"/>
      <c r="I65" s="209"/>
      <c r="J65" s="172"/>
      <c r="K65" s="175"/>
      <c r="L65" s="175"/>
      <c r="M65" s="175"/>
      <c r="N65" s="360"/>
      <c r="O65" s="360"/>
      <c r="P65" s="360"/>
      <c r="Q65" s="360"/>
      <c r="R65" s="170"/>
      <c r="S65" s="170"/>
      <c r="T65" s="170"/>
      <c r="U65" s="170"/>
      <c r="V65" s="170"/>
      <c r="W65" s="172"/>
      <c r="X65" s="171"/>
    </row>
    <row r="66" spans="1:24" ht="15.75">
      <c r="A66" s="169"/>
      <c r="B66" s="173"/>
      <c r="C66" s="172"/>
      <c r="D66" s="172"/>
      <c r="E66" s="357"/>
      <c r="F66" s="358"/>
      <c r="G66" s="358"/>
      <c r="H66" s="359"/>
      <c r="I66" s="209"/>
      <c r="J66" s="172"/>
      <c r="K66" s="175"/>
      <c r="L66" s="175"/>
      <c r="M66" s="175"/>
      <c r="N66" s="360"/>
      <c r="O66" s="360"/>
      <c r="P66" s="360"/>
      <c r="Q66" s="360"/>
      <c r="R66" s="170"/>
      <c r="S66" s="170"/>
      <c r="T66" s="170"/>
      <c r="U66" s="170"/>
      <c r="V66" s="170"/>
      <c r="W66" s="172"/>
      <c r="X66" s="171"/>
    </row>
    <row r="67" spans="1:24" ht="15.75">
      <c r="A67" s="169"/>
      <c r="B67" s="173"/>
      <c r="C67" s="172"/>
      <c r="D67" s="172"/>
      <c r="E67" s="357"/>
      <c r="F67" s="358"/>
      <c r="G67" s="358"/>
      <c r="H67" s="359"/>
      <c r="I67" s="209"/>
      <c r="J67" s="172"/>
      <c r="K67" s="175"/>
      <c r="L67" s="175"/>
      <c r="M67" s="175"/>
      <c r="N67" s="360"/>
      <c r="O67" s="360"/>
      <c r="P67" s="360"/>
      <c r="Q67" s="360"/>
      <c r="R67" s="170"/>
      <c r="S67" s="170"/>
      <c r="T67" s="170"/>
      <c r="U67" s="170"/>
      <c r="V67" s="170"/>
      <c r="W67" s="172"/>
      <c r="X67" s="171"/>
    </row>
    <row r="68" spans="1:24" ht="15.75">
      <c r="A68" s="169"/>
      <c r="B68" s="173"/>
      <c r="C68" s="172"/>
      <c r="D68" s="172"/>
      <c r="E68" s="357"/>
      <c r="F68" s="358"/>
      <c r="G68" s="358"/>
      <c r="H68" s="359"/>
      <c r="I68" s="209"/>
      <c r="J68" s="172"/>
      <c r="K68" s="175"/>
      <c r="L68" s="175"/>
      <c r="M68" s="175"/>
      <c r="N68" s="360"/>
      <c r="O68" s="360"/>
      <c r="P68" s="360"/>
      <c r="Q68" s="360"/>
      <c r="R68" s="170"/>
      <c r="S68" s="170"/>
      <c r="T68" s="170"/>
      <c r="U68" s="170"/>
      <c r="V68" s="170"/>
      <c r="W68" s="172"/>
      <c r="X68" s="171"/>
    </row>
    <row r="69" spans="1:24" ht="15.75">
      <c r="A69" s="169"/>
      <c r="B69" s="173"/>
      <c r="C69" s="172"/>
      <c r="D69" s="172"/>
      <c r="E69" s="357"/>
      <c r="F69" s="358"/>
      <c r="G69" s="358"/>
      <c r="H69" s="359"/>
      <c r="I69" s="209"/>
      <c r="J69" s="172"/>
      <c r="K69" s="175"/>
      <c r="L69" s="175"/>
      <c r="M69" s="175"/>
      <c r="N69" s="360"/>
      <c r="O69" s="360"/>
      <c r="P69" s="360"/>
      <c r="Q69" s="360"/>
      <c r="R69" s="170"/>
      <c r="S69" s="170"/>
      <c r="T69" s="170"/>
      <c r="U69" s="170"/>
      <c r="V69" s="170"/>
      <c r="W69" s="172"/>
      <c r="X69" s="171"/>
    </row>
    <row r="70" spans="1:24" ht="15.75">
      <c r="A70" s="169"/>
      <c r="B70" s="173"/>
      <c r="C70" s="172"/>
      <c r="D70" s="172"/>
      <c r="E70" s="357"/>
      <c r="F70" s="358"/>
      <c r="G70" s="358"/>
      <c r="H70" s="359"/>
      <c r="I70" s="209"/>
      <c r="J70" s="172"/>
      <c r="K70" s="175"/>
      <c r="L70" s="175"/>
      <c r="M70" s="175"/>
      <c r="N70" s="360"/>
      <c r="O70" s="360"/>
      <c r="P70" s="360"/>
      <c r="Q70" s="360"/>
      <c r="R70" s="170"/>
      <c r="S70" s="170"/>
      <c r="T70" s="170"/>
      <c r="U70" s="170"/>
      <c r="V70" s="170"/>
      <c r="W70" s="172"/>
      <c r="X70" s="171"/>
    </row>
    <row r="71" spans="1:24" ht="15.75">
      <c r="A71" s="169"/>
      <c r="B71" s="173"/>
      <c r="C71" s="172"/>
      <c r="D71" s="172"/>
      <c r="E71" s="357"/>
      <c r="F71" s="358"/>
      <c r="G71" s="358"/>
      <c r="H71" s="359"/>
      <c r="I71" s="209"/>
      <c r="J71" s="172"/>
      <c r="K71" s="175"/>
      <c r="L71" s="175"/>
      <c r="M71" s="175"/>
      <c r="N71" s="360"/>
      <c r="O71" s="360"/>
      <c r="P71" s="360"/>
      <c r="Q71" s="360"/>
      <c r="R71" s="170"/>
      <c r="S71" s="170"/>
      <c r="T71" s="170"/>
      <c r="U71" s="170"/>
      <c r="V71" s="170"/>
      <c r="W71" s="172"/>
      <c r="X71" s="171"/>
    </row>
    <row r="72" spans="1:24" ht="15.75">
      <c r="A72" s="169"/>
      <c r="B72" s="173"/>
      <c r="C72" s="172"/>
      <c r="D72" s="172"/>
      <c r="E72" s="357"/>
      <c r="F72" s="358"/>
      <c r="G72" s="358"/>
      <c r="H72" s="359"/>
      <c r="I72" s="209"/>
      <c r="J72" s="172"/>
      <c r="K72" s="175"/>
      <c r="L72" s="175"/>
      <c r="M72" s="175"/>
      <c r="N72" s="360"/>
      <c r="O72" s="360"/>
      <c r="P72" s="360"/>
      <c r="Q72" s="360"/>
      <c r="R72" s="170"/>
      <c r="S72" s="170"/>
      <c r="T72" s="170"/>
      <c r="U72" s="170"/>
      <c r="V72" s="170"/>
      <c r="W72" s="172"/>
      <c r="X72" s="171"/>
    </row>
    <row r="73" spans="1:24" ht="15.75">
      <c r="A73" s="169"/>
      <c r="B73" s="173"/>
      <c r="C73" s="172"/>
      <c r="D73" s="172"/>
      <c r="E73" s="357"/>
      <c r="F73" s="358"/>
      <c r="G73" s="358"/>
      <c r="H73" s="359"/>
      <c r="I73" s="209"/>
      <c r="J73" s="172"/>
      <c r="K73" s="175"/>
      <c r="L73" s="175"/>
      <c r="M73" s="175"/>
      <c r="N73" s="360"/>
      <c r="O73" s="360"/>
      <c r="P73" s="360"/>
      <c r="Q73" s="360"/>
      <c r="R73" s="170"/>
      <c r="S73" s="170"/>
      <c r="T73" s="170"/>
      <c r="U73" s="170"/>
      <c r="V73" s="170"/>
      <c r="W73" s="172"/>
      <c r="X73" s="171"/>
    </row>
    <row r="74" spans="1:24" ht="15.75">
      <c r="A74" s="169"/>
      <c r="B74" s="173"/>
      <c r="C74" s="172"/>
      <c r="D74" s="172"/>
      <c r="E74" s="357"/>
      <c r="F74" s="358"/>
      <c r="G74" s="358"/>
      <c r="H74" s="359"/>
      <c r="I74" s="209"/>
      <c r="J74" s="172"/>
      <c r="K74" s="175"/>
      <c r="L74" s="175"/>
      <c r="M74" s="175"/>
      <c r="N74" s="360"/>
      <c r="O74" s="360"/>
      <c r="P74" s="360"/>
      <c r="Q74" s="360"/>
      <c r="R74" s="170"/>
      <c r="S74" s="170"/>
      <c r="T74" s="170"/>
      <c r="U74" s="170"/>
      <c r="V74" s="170"/>
      <c r="W74" s="172"/>
      <c r="X74" s="171"/>
    </row>
    <row r="75" spans="1:24" ht="15.75">
      <c r="A75" s="169"/>
      <c r="B75" s="173"/>
      <c r="C75" s="172"/>
      <c r="D75" s="172"/>
      <c r="E75" s="357"/>
      <c r="F75" s="358"/>
      <c r="G75" s="358"/>
      <c r="H75" s="359"/>
      <c r="I75" s="209"/>
      <c r="J75" s="172"/>
      <c r="K75" s="175"/>
      <c r="L75" s="175"/>
      <c r="M75" s="175"/>
      <c r="N75" s="360"/>
      <c r="O75" s="360"/>
      <c r="P75" s="360"/>
      <c r="Q75" s="360"/>
      <c r="R75" s="170"/>
      <c r="S75" s="170"/>
      <c r="T75" s="170"/>
      <c r="U75" s="170"/>
      <c r="V75" s="170"/>
      <c r="W75" s="172"/>
      <c r="X75" s="171"/>
    </row>
    <row r="76" spans="1:24" ht="15.75">
      <c r="A76" s="169"/>
      <c r="B76" s="173"/>
      <c r="C76" s="172"/>
      <c r="D76" s="172"/>
      <c r="E76" s="357"/>
      <c r="F76" s="358"/>
      <c r="G76" s="358"/>
      <c r="H76" s="359"/>
      <c r="I76" s="209"/>
      <c r="J76" s="172"/>
      <c r="K76" s="175"/>
      <c r="L76" s="175"/>
      <c r="M76" s="175"/>
      <c r="N76" s="360"/>
      <c r="O76" s="360"/>
      <c r="P76" s="360"/>
      <c r="Q76" s="360"/>
      <c r="R76" s="170"/>
      <c r="S76" s="170"/>
      <c r="T76" s="170"/>
      <c r="U76" s="170"/>
      <c r="V76" s="170"/>
      <c r="W76" s="172"/>
      <c r="X76" s="171"/>
    </row>
    <row r="77" spans="1:24" ht="15.75">
      <c r="A77" s="169"/>
      <c r="B77" s="173"/>
      <c r="C77" s="172"/>
      <c r="D77" s="172"/>
      <c r="E77" s="357"/>
      <c r="F77" s="358"/>
      <c r="G77" s="358"/>
      <c r="H77" s="359"/>
      <c r="I77" s="209"/>
      <c r="J77" s="172"/>
      <c r="K77" s="175"/>
      <c r="L77" s="175"/>
      <c r="M77" s="175"/>
      <c r="N77" s="360"/>
      <c r="O77" s="360"/>
      <c r="P77" s="360"/>
      <c r="Q77" s="360"/>
      <c r="R77" s="170"/>
      <c r="S77" s="170"/>
      <c r="T77" s="170"/>
      <c r="U77" s="170"/>
      <c r="V77" s="170"/>
      <c r="W77" s="172"/>
      <c r="X77" s="171"/>
    </row>
    <row r="78" spans="1:24" ht="15.75">
      <c r="A78" s="169"/>
      <c r="B78" s="173"/>
      <c r="C78" s="172"/>
      <c r="D78" s="172"/>
      <c r="E78" s="357"/>
      <c r="F78" s="358"/>
      <c r="G78" s="358"/>
      <c r="H78" s="359"/>
      <c r="I78" s="209"/>
      <c r="J78" s="172"/>
      <c r="K78" s="175"/>
      <c r="L78" s="175"/>
      <c r="M78" s="175"/>
      <c r="N78" s="360"/>
      <c r="O78" s="360"/>
      <c r="P78" s="360"/>
      <c r="Q78" s="360"/>
      <c r="R78" s="170"/>
      <c r="S78" s="170"/>
      <c r="T78" s="170"/>
      <c r="U78" s="170"/>
      <c r="V78" s="170"/>
      <c r="W78" s="172"/>
      <c r="X78" s="171"/>
    </row>
    <row r="79" spans="1:24" ht="15.75">
      <c r="A79" s="169"/>
      <c r="B79" s="173"/>
      <c r="C79" s="172"/>
      <c r="D79" s="172"/>
      <c r="E79" s="357"/>
      <c r="F79" s="358"/>
      <c r="G79" s="358"/>
      <c r="H79" s="359"/>
      <c r="I79" s="209"/>
      <c r="J79" s="172"/>
      <c r="K79" s="175"/>
      <c r="L79" s="175"/>
      <c r="M79" s="175"/>
      <c r="N79" s="360"/>
      <c r="O79" s="360"/>
      <c r="P79" s="360"/>
      <c r="Q79" s="360"/>
      <c r="R79" s="170"/>
      <c r="S79" s="170"/>
      <c r="T79" s="170"/>
      <c r="U79" s="170"/>
      <c r="V79" s="170"/>
      <c r="W79" s="172"/>
      <c r="X79" s="171"/>
    </row>
    <row r="80" spans="1:24" ht="15.75">
      <c r="A80" s="169"/>
      <c r="B80" s="173"/>
      <c r="C80" s="172"/>
      <c r="D80" s="172"/>
      <c r="E80" s="357"/>
      <c r="F80" s="358"/>
      <c r="G80" s="358"/>
      <c r="H80" s="359"/>
      <c r="I80" s="209"/>
      <c r="J80" s="172"/>
      <c r="K80" s="175"/>
      <c r="L80" s="175"/>
      <c r="M80" s="175"/>
      <c r="N80" s="360"/>
      <c r="O80" s="360"/>
      <c r="P80" s="360"/>
      <c r="Q80" s="360"/>
      <c r="R80" s="170"/>
      <c r="S80" s="170"/>
      <c r="T80" s="170"/>
      <c r="U80" s="170"/>
      <c r="V80" s="170"/>
      <c r="W80" s="172"/>
      <c r="X80" s="171"/>
    </row>
    <row r="81" spans="1:24" ht="15.75">
      <c r="A81" s="169"/>
      <c r="B81" s="173"/>
      <c r="C81" s="162"/>
      <c r="D81" s="202"/>
      <c r="E81" s="203"/>
      <c r="F81" s="203"/>
      <c r="G81" s="203"/>
      <c r="H81" s="203"/>
      <c r="I81" s="162"/>
      <c r="J81" s="162"/>
      <c r="K81" s="163"/>
      <c r="L81" s="163"/>
      <c r="M81" s="163"/>
      <c r="N81" s="204"/>
      <c r="O81" s="204"/>
      <c r="P81" s="204"/>
      <c r="Q81" s="204"/>
      <c r="R81" s="205"/>
      <c r="S81" s="205"/>
      <c r="T81" s="205"/>
      <c r="U81" s="205"/>
      <c r="V81" s="205"/>
      <c r="W81" s="205"/>
      <c r="X81" s="171"/>
    </row>
    <row r="82" spans="1:24" ht="31.5">
      <c r="A82" s="124"/>
      <c r="B82" s="56"/>
      <c r="C82" s="166" t="s">
        <v>611</v>
      </c>
      <c r="D82" s="164"/>
      <c r="E82" s="264" t="s">
        <v>612</v>
      </c>
      <c r="F82" s="265"/>
      <c r="G82" s="265"/>
      <c r="H82" s="266"/>
      <c r="I82" s="161"/>
      <c r="J82" s="84"/>
      <c r="K82" s="163"/>
      <c r="L82" s="163"/>
      <c r="M82" s="168"/>
      <c r="N82" s="162"/>
      <c r="O82" s="162"/>
      <c r="P82" s="162"/>
      <c r="Q82" s="162"/>
      <c r="R82" s="84"/>
      <c r="S82" s="84"/>
      <c r="T82" s="84"/>
      <c r="U82" s="84"/>
      <c r="V82" s="84"/>
      <c r="W82" s="1"/>
      <c r="X82" s="124"/>
    </row>
    <row r="83" spans="1:24" ht="15.75">
      <c r="A83" s="124"/>
      <c r="B83" s="52"/>
      <c r="C83" s="165"/>
      <c r="D83" s="127"/>
      <c r="E83" s="264" t="s">
        <v>613</v>
      </c>
      <c r="F83" s="265"/>
      <c r="G83" s="265"/>
      <c r="H83" s="266"/>
      <c r="I83" s="161"/>
      <c r="J83" s="84"/>
      <c r="K83" s="163"/>
      <c r="L83" s="163"/>
      <c r="M83" s="126"/>
      <c r="N83" s="162"/>
      <c r="O83" s="162"/>
      <c r="P83" s="162"/>
      <c r="Q83" s="162"/>
      <c r="R83" s="84"/>
      <c r="S83" s="84"/>
      <c r="T83" s="84"/>
      <c r="U83" s="84"/>
      <c r="V83" s="84"/>
      <c r="W83" s="1"/>
      <c r="X83" s="124"/>
    </row>
    <row r="84" spans="1:24" ht="15.75">
      <c r="A84" s="124"/>
      <c r="B84" s="56"/>
      <c r="C84" s="126"/>
      <c r="D84" s="128"/>
      <c r="E84" s="264" t="s">
        <v>614</v>
      </c>
      <c r="F84" s="265"/>
      <c r="G84" s="265"/>
      <c r="H84" s="26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4"/>
      <c r="V84" s="124"/>
      <c r="W84" s="1"/>
      <c r="X84" s="124"/>
    </row>
    <row r="85" spans="1:24" ht="15.75">
      <c r="A85" s="124"/>
      <c r="B85" s="56" t="str">
        <f>IF(E90="","",1+B84)</f>
        <v/>
      </c>
      <c r="C85" s="3"/>
      <c r="D85" s="126"/>
      <c r="E85" s="124"/>
      <c r="F85" s="124"/>
      <c r="G85" s="124"/>
      <c r="H85" s="124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4"/>
      <c r="V85" s="124"/>
      <c r="W85" s="1"/>
      <c r="X85" s="124"/>
    </row>
    <row r="86" spans="1:24" ht="15.75">
      <c r="A86" s="124"/>
      <c r="B86" s="56" t="str">
        <f>IF(E91="","",1+B85)</f>
        <v/>
      </c>
      <c r="C86" s="3"/>
      <c r="D86" s="3"/>
      <c r="E86" s="124"/>
      <c r="F86" s="124"/>
      <c r="G86" s="124"/>
      <c r="H86" s="124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4"/>
      <c r="V86" s="124"/>
      <c r="W86" s="1"/>
      <c r="X86" s="124"/>
    </row>
    <row r="87" spans="1:24" ht="15.75">
      <c r="A87" s="124"/>
      <c r="B87" s="56" t="str">
        <f>IF(E92="","",1+B86)</f>
        <v/>
      </c>
      <c r="C87" s="3"/>
      <c r="D87" s="3"/>
      <c r="E87" s="124"/>
      <c r="F87" s="124"/>
      <c r="G87" s="124"/>
      <c r="H87" s="124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4"/>
      <c r="V87" s="124"/>
      <c r="W87" s="1"/>
      <c r="X87" s="124"/>
    </row>
    <row r="88" spans="1:24" ht="15.75">
      <c r="A88" s="124"/>
      <c r="B88" s="126"/>
      <c r="C88" s="3"/>
      <c r="D88" s="3"/>
      <c r="E88" s="126"/>
      <c r="F88" s="126"/>
      <c r="G88" s="126"/>
      <c r="H88" s="126"/>
      <c r="I88" s="126"/>
      <c r="J88" s="126"/>
      <c r="K88" s="126"/>
      <c r="L88" s="126"/>
      <c r="M88" s="3"/>
      <c r="N88" s="126"/>
      <c r="O88" s="126"/>
      <c r="P88" s="126"/>
      <c r="Q88" s="126"/>
      <c r="R88" s="126"/>
      <c r="S88" s="126"/>
      <c r="T88" s="126"/>
      <c r="U88" s="124"/>
      <c r="V88" s="124"/>
      <c r="W88" s="1"/>
      <c r="X88" s="124"/>
    </row>
    <row r="89" spans="1:24" ht="15.75">
      <c r="A89" s="124"/>
      <c r="B89" s="12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1"/>
      <c r="V89" s="1"/>
      <c r="W89" s="1"/>
      <c r="X89" s="124"/>
    </row>
    <row r="90" spans="1:24" ht="15.75">
      <c r="A90" s="124"/>
      <c r="B90" s="12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1"/>
      <c r="V90" s="1"/>
      <c r="W90" s="1"/>
      <c r="X90" s="124"/>
    </row>
    <row r="91" spans="1:24" ht="15.75">
      <c r="A91" s="124"/>
      <c r="B91" s="12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1"/>
      <c r="V91" s="1"/>
      <c r="W91" s="1"/>
      <c r="X91" s="124"/>
    </row>
    <row r="92" spans="1:24" ht="15.75">
      <c r="A92" s="124"/>
      <c r="B92" s="12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1"/>
      <c r="V92" s="1"/>
      <c r="W92" s="1"/>
      <c r="X92" s="124"/>
    </row>
    <row r="93" spans="1:24" ht="15.75">
      <c r="A93" s="12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1"/>
      <c r="V93" s="1"/>
      <c r="W93" s="1"/>
      <c r="X93" s="124"/>
    </row>
    <row r="94" spans="1:24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1"/>
      <c r="V94" s="1"/>
      <c r="W94" s="1"/>
      <c r="X94" s="1"/>
    </row>
    <row r="95" spans="1:24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1"/>
      <c r="V95" s="1"/>
      <c r="W95" s="1"/>
      <c r="X95" s="1"/>
    </row>
    <row r="96" spans="1:24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1"/>
      <c r="V96" s="1"/>
      <c r="W96" s="1"/>
      <c r="X96" s="1"/>
    </row>
    <row r="97" spans="1:24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1"/>
      <c r="V97" s="1"/>
      <c r="W97" s="1"/>
      <c r="X97" s="1"/>
    </row>
    <row r="98" spans="1:24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1"/>
      <c r="V98" s="1"/>
      <c r="W98" s="1"/>
      <c r="X98" s="1"/>
    </row>
    <row r="99" spans="1:24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1"/>
      <c r="V99" s="1"/>
      <c r="W99" s="1"/>
      <c r="X99" s="1"/>
    </row>
    <row r="100" spans="1:24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1"/>
      <c r="V100" s="1"/>
      <c r="W100" s="1"/>
      <c r="X100" s="1"/>
    </row>
    <row r="101" spans="1:24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1"/>
      <c r="V101" s="1"/>
      <c r="W101" s="1"/>
      <c r="X101" s="1"/>
    </row>
    <row r="102" spans="1:24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1"/>
      <c r="V102" s="1"/>
      <c r="W102" s="1"/>
      <c r="X102" s="1"/>
    </row>
  </sheetData>
  <mergeCells count="161">
    <mergeCell ref="E82:H82"/>
    <mergeCell ref="E83:H83"/>
    <mergeCell ref="E84:H84"/>
    <mergeCell ref="E78:H78"/>
    <mergeCell ref="N78:Q78"/>
    <mergeCell ref="E79:H79"/>
    <mergeCell ref="N79:Q79"/>
    <mergeCell ref="E80:H80"/>
    <mergeCell ref="N80:Q80"/>
    <mergeCell ref="E75:H75"/>
    <mergeCell ref="N75:Q75"/>
    <mergeCell ref="E76:H76"/>
    <mergeCell ref="N76:Q76"/>
    <mergeCell ref="E77:H77"/>
    <mergeCell ref="N77:Q77"/>
    <mergeCell ref="E72:H72"/>
    <mergeCell ref="N72:Q72"/>
    <mergeCell ref="E73:H73"/>
    <mergeCell ref="N73:Q73"/>
    <mergeCell ref="E74:H74"/>
    <mergeCell ref="N74:Q74"/>
    <mergeCell ref="E69:H69"/>
    <mergeCell ref="N69:Q69"/>
    <mergeCell ref="E70:H70"/>
    <mergeCell ref="N70:Q70"/>
    <mergeCell ref="E71:H71"/>
    <mergeCell ref="N71:Q71"/>
    <mergeCell ref="E66:H66"/>
    <mergeCell ref="N66:Q66"/>
    <mergeCell ref="E67:H67"/>
    <mergeCell ref="N67:Q67"/>
    <mergeCell ref="E68:H68"/>
    <mergeCell ref="N68:Q68"/>
    <mergeCell ref="E63:H63"/>
    <mergeCell ref="N63:Q63"/>
    <mergeCell ref="E64:H64"/>
    <mergeCell ref="N64:Q64"/>
    <mergeCell ref="E65:H65"/>
    <mergeCell ref="N65:Q65"/>
    <mergeCell ref="E60:H60"/>
    <mergeCell ref="N60:Q60"/>
    <mergeCell ref="E61:H61"/>
    <mergeCell ref="N61:Q61"/>
    <mergeCell ref="E62:H62"/>
    <mergeCell ref="N62:Q62"/>
    <mergeCell ref="E57:H57"/>
    <mergeCell ref="N57:Q57"/>
    <mergeCell ref="E58:H58"/>
    <mergeCell ref="N58:Q58"/>
    <mergeCell ref="E59:H59"/>
    <mergeCell ref="N59:Q59"/>
    <mergeCell ref="E54:H54"/>
    <mergeCell ref="N54:Q54"/>
    <mergeCell ref="E55:H55"/>
    <mergeCell ref="N55:Q55"/>
    <mergeCell ref="E56:H56"/>
    <mergeCell ref="N56:Q56"/>
    <mergeCell ref="E51:H51"/>
    <mergeCell ref="N51:Q51"/>
    <mergeCell ref="E52:H52"/>
    <mergeCell ref="N52:Q52"/>
    <mergeCell ref="E53:H53"/>
    <mergeCell ref="N53:Q53"/>
    <mergeCell ref="E48:H48"/>
    <mergeCell ref="N48:Q48"/>
    <mergeCell ref="E49:H49"/>
    <mergeCell ref="N49:Q49"/>
    <mergeCell ref="E50:H50"/>
    <mergeCell ref="N50:Q50"/>
    <mergeCell ref="E45:H45"/>
    <mergeCell ref="N45:Q45"/>
    <mergeCell ref="E46:H46"/>
    <mergeCell ref="N46:Q46"/>
    <mergeCell ref="E47:H47"/>
    <mergeCell ref="N47:Q47"/>
    <mergeCell ref="E42:H42"/>
    <mergeCell ref="N42:Q42"/>
    <mergeCell ref="E43:H43"/>
    <mergeCell ref="N43:Q43"/>
    <mergeCell ref="E44:H44"/>
    <mergeCell ref="N44:Q44"/>
    <mergeCell ref="E39:H39"/>
    <mergeCell ref="N39:Q39"/>
    <mergeCell ref="E40:H40"/>
    <mergeCell ref="N40:Q40"/>
    <mergeCell ref="E41:H41"/>
    <mergeCell ref="N41:Q41"/>
    <mergeCell ref="E36:H36"/>
    <mergeCell ref="N36:Q36"/>
    <mergeCell ref="E37:H37"/>
    <mergeCell ref="N37:Q37"/>
    <mergeCell ref="E38:H38"/>
    <mergeCell ref="N38:Q38"/>
    <mergeCell ref="E33:H33"/>
    <mergeCell ref="N33:Q33"/>
    <mergeCell ref="E34:H34"/>
    <mergeCell ref="N34:Q34"/>
    <mergeCell ref="E35:H35"/>
    <mergeCell ref="N35:Q35"/>
    <mergeCell ref="E30:H30"/>
    <mergeCell ref="N30:Q30"/>
    <mergeCell ref="E31:H31"/>
    <mergeCell ref="N31:Q31"/>
    <mergeCell ref="E32:H32"/>
    <mergeCell ref="N32:Q32"/>
    <mergeCell ref="E27:H27"/>
    <mergeCell ref="N27:Q27"/>
    <mergeCell ref="E28:H28"/>
    <mergeCell ref="N28:Q28"/>
    <mergeCell ref="E29:H29"/>
    <mergeCell ref="N29:Q29"/>
    <mergeCell ref="E24:H24"/>
    <mergeCell ref="N24:Q24"/>
    <mergeCell ref="E25:H25"/>
    <mergeCell ref="N25:Q25"/>
    <mergeCell ref="E26:H26"/>
    <mergeCell ref="N26:Q26"/>
    <mergeCell ref="E20:H20"/>
    <mergeCell ref="N20:Q20"/>
    <mergeCell ref="E21:H21"/>
    <mergeCell ref="N21:Q21"/>
    <mergeCell ref="B22:M22"/>
    <mergeCell ref="E23:H23"/>
    <mergeCell ref="N23:Q23"/>
    <mergeCell ref="E16:H16"/>
    <mergeCell ref="E17:H17"/>
    <mergeCell ref="N17:Q17"/>
    <mergeCell ref="E18:H18"/>
    <mergeCell ref="N18:Q18"/>
    <mergeCell ref="E19:H19"/>
    <mergeCell ref="N19:Q19"/>
    <mergeCell ref="E12:H12"/>
    <mergeCell ref="N12:Q12"/>
    <mergeCell ref="E13:H13"/>
    <mergeCell ref="N13:Q13"/>
    <mergeCell ref="E14:H14"/>
    <mergeCell ref="E15:H15"/>
    <mergeCell ref="N15:Q15"/>
    <mergeCell ref="F8:W8"/>
    <mergeCell ref="B9:W9"/>
    <mergeCell ref="B10:W10"/>
    <mergeCell ref="E11:H11"/>
    <mergeCell ref="N11:Q11"/>
    <mergeCell ref="Q6:R6"/>
    <mergeCell ref="S6:T6"/>
    <mergeCell ref="U6:V6"/>
    <mergeCell ref="G7:I7"/>
    <mergeCell ref="M7:O7"/>
    <mergeCell ref="Q7:R7"/>
    <mergeCell ref="S7:T7"/>
    <mergeCell ref="U7:V7"/>
    <mergeCell ref="B1:T1"/>
    <mergeCell ref="B2:E8"/>
    <mergeCell ref="F3:O3"/>
    <mergeCell ref="Q3:W3"/>
    <mergeCell ref="Q4:W4"/>
    <mergeCell ref="G5:I5"/>
    <mergeCell ref="M5:O5"/>
    <mergeCell ref="Q5:R5"/>
    <mergeCell ref="S5:T5"/>
    <mergeCell ref="U5:V5"/>
  </mergeCells>
  <conditionalFormatting sqref="K12:M21 K23:M81">
    <cfRule type="cellIs" dxfId="7" priority="1" operator="equal">
      <formula>""</formula>
    </cfRule>
    <cfRule type="cellIs" dxfId="6" priority="2" operator="lessThanOrEqual">
      <formula>TODAY()</formula>
    </cfRule>
    <cfRule type="cellIs" dxfId="5" priority="3" operator="between">
      <formula>TODAY()</formula>
      <formula>TODAY()+60</formula>
    </cfRule>
    <cfRule type="cellIs" dxfId="4" priority="4" operator="greaterThanOrEqual">
      <formula>TODAY()+60</formula>
    </cfRule>
  </conditionalFormatting>
  <conditionalFormatting sqref="M82 K82:L83">
    <cfRule type="cellIs" dxfId="3" priority="6" operator="equal">
      <formula>""</formula>
    </cfRule>
    <cfRule type="cellIs" dxfId="2" priority="7" operator="lessThanOrEqual">
      <formula>TODAY()</formula>
    </cfRule>
    <cfRule type="cellIs" dxfId="1" priority="8" operator="between">
      <formula>TODAY()</formula>
      <formula>TODAY()+60</formula>
    </cfRule>
    <cfRule type="cellIs" dxfId="0" priority="9" operator="greaterThanOrEqual">
      <formula>TODAY()+60</formula>
    </cfRule>
  </conditionalFormatting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a2e8eb-3172-4c75-b438-941b6afd5ac3" xsi:nil="true"/>
    <lcf76f155ced4ddcb4097134ff3c332f xmlns="aba12dad-9863-4f71-bde8-97e40b9b3d9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DAA7433678945941D54C403178C4C" ma:contentTypeVersion="16" ma:contentTypeDescription="Create a new document." ma:contentTypeScope="" ma:versionID="0c82b9adad39d7f313f299a05e521332">
  <xsd:schema xmlns:xsd="http://www.w3.org/2001/XMLSchema" xmlns:xs="http://www.w3.org/2001/XMLSchema" xmlns:p="http://schemas.microsoft.com/office/2006/metadata/properties" xmlns:ns2="aba12dad-9863-4f71-bde8-97e40b9b3d99" xmlns:ns3="78a2e8eb-3172-4c75-b438-941b6afd5ac3" targetNamespace="http://schemas.microsoft.com/office/2006/metadata/properties" ma:root="true" ma:fieldsID="d12e5d71e2b3b8a61f0692a28010f147" ns2:_="" ns3:_="">
    <xsd:import namespace="aba12dad-9863-4f71-bde8-97e40b9b3d99"/>
    <xsd:import namespace="78a2e8eb-3172-4c75-b438-941b6afd5a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12dad-9863-4f71-bde8-97e40b9b3d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57a5ef2-ccd9-450d-814a-721f2f8228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2e8eb-3172-4c75-b438-941b6afd5a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06a2ad-071d-490f-ab38-32435e76de0a}" ma:internalName="TaxCatchAll" ma:showField="CatchAllData" ma:web="78a2e8eb-3172-4c75-b438-941b6afd5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1F1DD1-CB4F-47F5-BA52-BB453FD67A47}"/>
</file>

<file path=customXml/itemProps2.xml><?xml version="1.0" encoding="utf-8"?>
<ds:datastoreItem xmlns:ds="http://schemas.openxmlformats.org/officeDocument/2006/customXml" ds:itemID="{C86D0977-E3B4-4E4C-AD1E-80600502392E}"/>
</file>

<file path=customXml/itemProps3.xml><?xml version="1.0" encoding="utf-8"?>
<ds:datastoreItem xmlns:ds="http://schemas.openxmlformats.org/officeDocument/2006/customXml" ds:itemID="{889CBB84-6700-4C8B-8163-82F9DCFF4D93}"/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Mendonca</dc:creator>
  <cp:keywords/>
  <dc:description/>
  <cp:lastModifiedBy>Diego Rodrigues</cp:lastModifiedBy>
  <cp:revision/>
  <dcterms:created xsi:type="dcterms:W3CDTF">2019-02-19T14:15:50Z</dcterms:created>
  <dcterms:modified xsi:type="dcterms:W3CDTF">2026-01-19T19:28:05Z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0x010100AD6DAA7433678945941D54C403178C4C</vt:lpwstr>
  </property>
  <property fmtid="{D5CDD505-2E9C-101B-9397-08002B2CF9AE}" pid="3" name="MediaServiceImageTags">
    <vt:lpwstr/>
  </property>
  <property fmtid="{D5CDD505-2E9C-101B-9397-08002B2CF9AE}" pid="4" name="MSIP_Label_140b9f7d-8e3a-482f-9702-4b7ffc40985a_Enabled">
    <vt:lpwstr>true</vt:lpwstr>
  </property>
  <property fmtid="{D5CDD505-2E9C-101B-9397-08002B2CF9AE}" pid="5" name="MSIP_Label_140b9f7d-8e3a-482f-9702-4b7ffc40985a_SetDate">
    <vt:lpwstr>2023-06-22T05:06:43Z</vt:lpwstr>
  </property>
  <property fmtid="{D5CDD505-2E9C-101B-9397-08002B2CF9AE}" pid="6" name="MSIP_Label_140b9f7d-8e3a-482f-9702-4b7ffc40985a_Method">
    <vt:lpwstr>Privileged</vt:lpwstr>
  </property>
  <property fmtid="{D5CDD505-2E9C-101B-9397-08002B2CF9AE}" pid="7" name="MSIP_Label_140b9f7d-8e3a-482f-9702-4b7ffc40985a_Name">
    <vt:lpwstr>Pública</vt:lpwstr>
  </property>
  <property fmtid="{D5CDD505-2E9C-101B-9397-08002B2CF9AE}" pid="8" name="MSIP_Label_140b9f7d-8e3a-482f-9702-4b7ffc40985a_SiteId">
    <vt:lpwstr>5b6f6241-9a57-4be4-8e50-1dfa72e79a57</vt:lpwstr>
  </property>
  <property fmtid="{D5CDD505-2E9C-101B-9397-08002B2CF9AE}" pid="9" name="MSIP_Label_140b9f7d-8e3a-482f-9702-4b7ffc40985a_ActionId">
    <vt:lpwstr>cd1c30e7-92b6-44d7-8451-d2ca9c572b73</vt:lpwstr>
  </property>
  <property fmtid="{D5CDD505-2E9C-101B-9397-08002B2CF9AE}" pid="10" name="MSIP_Label_140b9f7d-8e3a-482f-9702-4b7ffc40985a_ContentBits">
    <vt:lpwstr>2</vt:lpwstr>
  </property>
</Properties>
</file>