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01E27\EXCELCNV\625c92b9-a622-4be5-b17f-b222da2855f3\"/>
    </mc:Choice>
  </mc:AlternateContent>
  <xr:revisionPtr revIDLastSave="378" documentId="8_{79AF1B96-0E1E-4011-BDDD-15DF72112CA0}" xr6:coauthVersionLast="47" xr6:coauthVersionMax="47" xr10:uidLastSave="{7134D96D-4981-4696-AAD2-C3F4EEDF3F08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-60" yWindow="-60" windowWidth="15480" windowHeight="11640" tabRatio="786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Eslingas'!$A$11:$Y$23</definedName>
    <definedName name="_xlnm._FilterDatabase" localSheetId="0" hidden="1">Geral!$A$11:$X$191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<sst xmlns="http://schemas.openxmlformats.org/spreadsheetml/2006/main" count="1398" uniqueCount="512">
  <si>
    <t>Controle de Equipamentos Offshore</t>
  </si>
  <si>
    <t>Equipe a bordo</t>
  </si>
  <si>
    <t>Sonda:</t>
  </si>
  <si>
    <t>NS-38</t>
  </si>
  <si>
    <t>Poço:</t>
  </si>
  <si>
    <t>8-MRL-98D-RJS</t>
  </si>
  <si>
    <t xml:space="preserve">Supervisor </t>
  </si>
  <si>
    <t>JACKSON FERREIRA</t>
  </si>
  <si>
    <t>Técnico</t>
  </si>
  <si>
    <t>RAFAEL BELO</t>
  </si>
  <si>
    <t>RHUDSON COUTO</t>
  </si>
  <si>
    <t>Data:</t>
  </si>
  <si>
    <t>13/01/2026</t>
  </si>
  <si>
    <t>Campo:</t>
  </si>
  <si>
    <t xml:space="preserve">MARLIM	</t>
  </si>
  <si>
    <t>CARLOS MANHÃES</t>
  </si>
  <si>
    <t>ROMULO CORREA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</si>
  <si>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</si>
  <si>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</si>
  <si>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</si>
  <si>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</si>
  <si>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</si>
  <si>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</si>
  <si>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</si>
  <si>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</si>
  <si>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</si>
  <si>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</si>
  <si>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</si>
  <si>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</si>
  <si>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</si>
  <si>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</si>
  <si>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</si>
  <si>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</si>
  <si>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</si>
  <si>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</si>
  <si>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</si>
  <si>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</si>
  <si>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</si>
  <si>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</si>
  <si>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</si>
  <si>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 xml:space="preserve">DESEMBARQUE </t>
  </si>
  <si>
    <t>STJ-003 / HAD 003 / PPJ 025 / CRO 045</t>
  </si>
  <si>
    <t>OK</t>
  </si>
  <si>
    <t>N/A</t>
  </si>
  <si>
    <t>CBX 161</t>
  </si>
  <si>
    <t>STRESS JOINT TRANSPORT SKID</t>
  </si>
  <si>
    <t>COLUNA DPR JUNTAS DE 43' FT</t>
  </si>
  <si>
    <t>Pipe Deck</t>
  </si>
  <si>
    <t>MRC 002</t>
  </si>
  <si>
    <t>MECHANICAL RAPID CONNECTOR</t>
  </si>
  <si>
    <t>MRC 001</t>
  </si>
  <si>
    <t>NPAE 00961</t>
  </si>
  <si>
    <t>PUP JOINT 8' - XT-MF 69</t>
  </si>
  <si>
    <t>PPJ 017</t>
  </si>
  <si>
    <t xml:space="preserve">PUP JOINT 8' - XT-MF 69 </t>
  </si>
  <si>
    <t>VENCIDO</t>
  </si>
  <si>
    <t>PPJ 014</t>
  </si>
  <si>
    <t>PUP JOINT 10' - XT-MF 69</t>
  </si>
  <si>
    <t>CATWALK</t>
  </si>
  <si>
    <t>PPJ 012</t>
  </si>
  <si>
    <t>PPJ 011</t>
  </si>
  <si>
    <t>PPJ-029 - PPJ-026</t>
  </si>
  <si>
    <t>PUP JOINT 15' - 6 5/8"</t>
  </si>
  <si>
    <t>PPJ 006</t>
  </si>
  <si>
    <t>PUP JOINT 20' - XT-MF 69</t>
  </si>
  <si>
    <t>Em operação</t>
  </si>
  <si>
    <t xml:space="preserve"> SSUB 002</t>
  </si>
  <si>
    <t xml:space="preserve">SAVER SUB DPR 6 5/8" SSUB-002 </t>
  </si>
  <si>
    <t>NÃO FOI POSSÍVEL ACESSAR A CESTA PARA VERIFICAÇÃO</t>
  </si>
  <si>
    <t xml:space="preserve"> SSUB 012</t>
  </si>
  <si>
    <t>SAVER SUB DPR 6 5/8" SSUB-012</t>
  </si>
  <si>
    <t xml:space="preserve"> SSUB 013</t>
  </si>
  <si>
    <t>SAVER SUB DPR 6 5/8" SSUB-013 XTMF PIN X PIN</t>
  </si>
  <si>
    <t xml:space="preserve"> SSUB 016</t>
  </si>
  <si>
    <t>SAVER SUB PIN X PIN</t>
  </si>
  <si>
    <t xml:space="preserve">Drill Floor </t>
  </si>
  <si>
    <t>EM OPERAÇÃO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</si>
  <si>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</si>
  <si>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</si>
  <si>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</si>
  <si>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</si>
  <si>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</si>
  <si>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</si>
  <si>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</si>
  <si>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</si>
  <si>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</si>
  <si>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ADH 020</t>
  </si>
  <si>
    <t>ADAPTER HUB 11” X FLANGE 11” 10K</t>
  </si>
  <si>
    <t>ADH 023</t>
  </si>
  <si>
    <t>ADAPTER HUB 11” X FLANGE 13 5/8” 5X1</t>
  </si>
  <si>
    <t>ADH 009</t>
  </si>
  <si>
    <t>ADAPTER HUB 11” - 0184-20</t>
  </si>
  <si>
    <t>ADH 015</t>
  </si>
  <si>
    <t>ADAPTER HUB 11” - 0180-20</t>
  </si>
  <si>
    <t>ADH 018</t>
  </si>
  <si>
    <t>ADAPTER HUB 11” - 0189-20</t>
  </si>
  <si>
    <t>ADH 021</t>
  </si>
  <si>
    <t>ADAPTER HUB 11” - 0182-20</t>
  </si>
  <si>
    <t>HUB ADAPTER TRANSPORT SKID</t>
  </si>
  <si>
    <t>CROSSOVER'S</t>
  </si>
  <si>
    <t>CRO 002</t>
  </si>
  <si>
    <t xml:space="preserve">CROSSOVER DPR X 4 ½” IF </t>
  </si>
  <si>
    <t>CRO 010</t>
  </si>
  <si>
    <t xml:space="preserve">CROSSOVER DPR X 6 5/8” </t>
  </si>
  <si>
    <t>CRO 048</t>
  </si>
  <si>
    <t>CRO 057</t>
  </si>
  <si>
    <t>CRO 062</t>
  </si>
  <si>
    <t>XO DPR XT-MF69 X 6 5/8" - FH x CAIXA</t>
  </si>
  <si>
    <t>CESTA JA 558</t>
  </si>
  <si>
    <t>CROSSOVER STUB ACME PIN X XT-MF69 BOX</t>
  </si>
  <si>
    <t>CROSSOVER STUB ACME PIN X XT-MF69 PIN</t>
  </si>
  <si>
    <t>CRO 064</t>
  </si>
  <si>
    <t>CROSSOVER DPR X SWIVEL 6.3/4'' STUB ACME</t>
  </si>
  <si>
    <t>DPR CROSSOVER TRANSPORT BASKET</t>
  </si>
  <si>
    <t>SFT UPPER CROSSOVER 8 ¼” STUB ACME X 8 ¼” ACME BOWEN</t>
  </si>
  <si>
    <t>SFTUC 015</t>
  </si>
  <si>
    <t>SFT UPPER CROSSOVER 8 ¼” STUB ACME X 4 7/8” STUB ACME</t>
  </si>
  <si>
    <t>SFTUC 009</t>
  </si>
  <si>
    <t>SFT UPPER CROSSOVER 8 ¼” STUB ACME X 9” OTIS</t>
  </si>
  <si>
    <t>PIT 013</t>
  </si>
  <si>
    <t>SFT UPPER  CROSSOVER TEST PIN 8 ¼” STUB ACME</t>
  </si>
  <si>
    <t>SFT</t>
  </si>
  <si>
    <t>SFT 004</t>
  </si>
  <si>
    <t>SURFACE FLOW TREE</t>
  </si>
  <si>
    <t>SWJ 003</t>
  </si>
  <si>
    <t>SWIVEL JOINT</t>
  </si>
  <si>
    <t>SURFACE FLOW TREE TRANSPORT SKID</t>
  </si>
  <si>
    <t>CFP 002</t>
  </si>
  <si>
    <t>FLEXIBLE FLOW LINE PIPE ASSEMBLY</t>
  </si>
  <si>
    <t>FLEXIBLE FLOW LINE PIPE TRANSPORT BASKET</t>
  </si>
  <si>
    <t>TSB 011</t>
  </si>
  <si>
    <t>SWIVEL LOWER TEST BOX 6.3/4'' STUB ACME</t>
  </si>
  <si>
    <t>SSUB 023</t>
  </si>
  <si>
    <t>SAVER SUB SWIVEL</t>
  </si>
  <si>
    <t>NDAE-04439</t>
  </si>
  <si>
    <t>TUBO 43' SFT</t>
  </si>
  <si>
    <t>CWJ 001</t>
  </si>
  <si>
    <t>CASED WEAR JOINT</t>
  </si>
  <si>
    <t>RISER DECK</t>
  </si>
  <si>
    <t>CARRETÉIS</t>
  </si>
  <si>
    <t>R 179</t>
  </si>
  <si>
    <t>OPEN SEA REELER</t>
  </si>
  <si>
    <t>Moon Pool</t>
  </si>
  <si>
    <t>SS-79</t>
  </si>
  <si>
    <t>U 300</t>
  </si>
  <si>
    <t>OPEN SEA UMBILICAL 38W 2000M</t>
  </si>
  <si>
    <t>PROTETOR DO CONECTOR ELÉTRICO ODI DO UEH</t>
  </si>
  <si>
    <t>R 181</t>
  </si>
  <si>
    <t>TUBING HANGER REELER</t>
  </si>
  <si>
    <t>U 038</t>
  </si>
  <si>
    <t>TUBING HANGER UMBILICAL 13W+HCR 2000M</t>
  </si>
  <si>
    <t>R 175</t>
  </si>
  <si>
    <t>HCR ANNULUS CIRCULATION REELER 2000M</t>
  </si>
  <si>
    <t>U 067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</si>
  <si>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</si>
  <si>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</si>
  <si>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</si>
  <si>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</si>
  <si>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</si>
  <si>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 240</t>
  </si>
  <si>
    <t>HPU W/ INTEGRATED OPEN SEA CONTROL PANEL</t>
  </si>
  <si>
    <t>HPU 241</t>
  </si>
  <si>
    <t>Main Deck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</si>
  <si>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</si>
  <si>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</si>
  <si>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</si>
  <si>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</si>
  <si>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</si>
  <si>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CONTROL CABIN</t>
  </si>
  <si>
    <t>WV 034</t>
  </si>
  <si>
    <t>Popa Bombordo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</si>
  <si>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</si>
  <si>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</si>
  <si>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</si>
  <si>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</si>
  <si>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</si>
  <si>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</si>
  <si>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</si>
  <si>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</si>
  <si>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</si>
  <si>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</si>
  <si>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</si>
  <si>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</si>
  <si>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</si>
  <si>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REMOTE CONTROL PANEL – RCP</t>
  </si>
  <si>
    <t>PNL-017</t>
  </si>
  <si>
    <t>Cabin Control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</si>
  <si>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</si>
  <si>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</si>
  <si>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</si>
  <si>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</si>
  <si>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</si>
  <si>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</si>
  <si>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</si>
  <si>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</si>
  <si>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</si>
  <si>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</si>
  <si>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</si>
  <si>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</si>
  <si>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</si>
  <si>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</si>
  <si>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</si>
  <si>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</si>
  <si>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HJ-045</t>
  </si>
  <si>
    <t>INCLINOMETRO / JUMPER Y</t>
  </si>
  <si>
    <t>SINC-005</t>
  </si>
  <si>
    <t xml:space="preserve">SENSOR INCLINOMETER SUBSEA DUAL </t>
  </si>
  <si>
    <t>EFL-110</t>
  </si>
  <si>
    <t xml:space="preserve">ELECTRICAL JUMPER CONNECTION UMBILICAL X INCLINOMETER </t>
  </si>
  <si>
    <t>CONTAINER DNVU</t>
  </si>
  <si>
    <t>EFL-113</t>
  </si>
  <si>
    <t>ELECTRICAL JUMPER</t>
  </si>
  <si>
    <t>INCD-004</t>
  </si>
  <si>
    <t>INCLINOMETER CLAMPING DEVICE  ASSEMBLY</t>
  </si>
  <si>
    <t>ELECTRICAL JUMPER 7W 14M FOR CONNECTION W/ EDP</t>
  </si>
  <si>
    <t>EJ-019</t>
  </si>
  <si>
    <t>ELECTRICAL JUMPER (Y) - OS UMBILICAL x EFL</t>
  </si>
  <si>
    <t>EJY-003</t>
  </si>
  <si>
    <t xml:space="preserve">ELECTRICAL JUMPER SUBSEA  </t>
  </si>
  <si>
    <t>EJY-002</t>
  </si>
  <si>
    <t>SUBSEA JUMPER - 004-20</t>
  </si>
  <si>
    <t>EJ-020</t>
  </si>
  <si>
    <t>ELETRICAL JUMPER TRONIC X ODI</t>
  </si>
  <si>
    <t>EL-014</t>
  </si>
  <si>
    <t>ELETRICAL JUMPER</t>
  </si>
  <si>
    <t>EJ-013</t>
  </si>
  <si>
    <t xml:space="preserve">ELETRICAL JUMPER TRONIC X TRONIC </t>
  </si>
  <si>
    <t>CLAMP'S</t>
  </si>
  <si>
    <t>CLP-024</t>
  </si>
  <si>
    <t>CLAMPS TO ATTACH OS UMBILICAL TO STANDARD RISER JOINTS 6 5/8”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</si>
  <si>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</si>
  <si>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</si>
  <si>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</si>
  <si>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</si>
  <si>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</si>
  <si>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</si>
  <si>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</si>
  <si>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</si>
  <si>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 170 / TDS 177
TDS 169 / TDS 171</t>
  </si>
  <si>
    <t>80° SHEAVE - HCR AND LUBRICATOR VALVE UMBILICAL</t>
  </si>
  <si>
    <t>TDS 178
TDS 180 / TDS 181</t>
  </si>
  <si>
    <t>360º MAIN SHEAVE - HCR UMBILICAL</t>
  </si>
  <si>
    <t>TDS 184</t>
  </si>
  <si>
    <t>180º SHEAVE - HCR UMBILICAL</t>
  </si>
  <si>
    <t>TDS 192</t>
  </si>
  <si>
    <t>360º MAIN SHEAVE - OS MODE UMBILICAL AND TH MODE UMBILICAL</t>
  </si>
  <si>
    <t>TDS 193</t>
  </si>
  <si>
    <t>180º SHEAVE - OS MODE UMBILICAL AND TH MODE UMBILICAL</t>
  </si>
  <si>
    <t>TDS-202 | TDS-199</t>
  </si>
  <si>
    <t>80° SHEAVE - OS MODE UMBILICAL AND TH MODE UMBILICAL</t>
  </si>
  <si>
    <t>MANOBRA</t>
  </si>
  <si>
    <t>MAIN ELEVATOR</t>
  </si>
  <si>
    <t>8264 / 8264</t>
  </si>
  <si>
    <t>MAIN ELEVATOR (EKRON)  / BOMBA  HIDR DE ACIONAMENTO</t>
  </si>
  <si>
    <t>WC 003</t>
  </si>
  <si>
    <t>H 304</t>
  </si>
  <si>
    <t>MAIN ELEVATOR TRANSPORT SKID</t>
  </si>
  <si>
    <t>TF 009</t>
  </si>
  <si>
    <t>MAIN ELEVATOR MOUNTING FRAME</t>
  </si>
  <si>
    <t>SBR 008</t>
  </si>
  <si>
    <t>UPPER SPREADER BAR</t>
  </si>
  <si>
    <t>UPPER SPREADER BAR TRANSPORT SKID</t>
  </si>
  <si>
    <t>LB 002</t>
  </si>
  <si>
    <t>LONG BAILS 18M FOR SFT ELEVATOR</t>
  </si>
  <si>
    <t>LONG BAILS TRANSPORT BASKET</t>
  </si>
  <si>
    <t>RS 001</t>
  </si>
  <si>
    <t>RISER SPIDER</t>
  </si>
  <si>
    <t>RISER SPIDER CONTROL PANEL</t>
  </si>
  <si>
    <t>FG1 01</t>
  </si>
  <si>
    <t>RISER SPIDER HPU</t>
  </si>
  <si>
    <t>HDBU 0142533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</si>
  <si>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</si>
  <si>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</si>
  <si>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</si>
  <si>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</si>
  <si>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</si>
  <si>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</si>
  <si>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</si>
  <si>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</si>
  <si>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</si>
  <si>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STG-011</t>
  </si>
  <si>
    <t>DPR STABBING GUIDE</t>
  </si>
  <si>
    <t>MEL-003</t>
  </si>
  <si>
    <t>MANUAL ELEVATOR</t>
  </si>
  <si>
    <t>THRS TRANSPORT BASKET</t>
  </si>
  <si>
    <t>DOUBLE DOOR ELEVATOR</t>
  </si>
  <si>
    <t>DOUBLE DOOR ELEVATOR TRANSPORT BASKET</t>
  </si>
  <si>
    <t>WORKSHOP CONTAINER</t>
  </si>
  <si>
    <t>DIVERSOS</t>
  </si>
  <si>
    <t>NBP 005</t>
  </si>
  <si>
    <t xml:space="preserve">BOOSTER PUMP </t>
  </si>
  <si>
    <t>FLYING LEAD TRANSPORT FRAME</t>
  </si>
  <si>
    <t>JA 558</t>
  </si>
  <si>
    <t xml:space="preserve">CESTA DE CROSSOVERS </t>
  </si>
  <si>
    <t>AMF 1152</t>
  </si>
  <si>
    <t>CONTAINER BEND RESTRICTOR 180º TH</t>
  </si>
  <si>
    <t>DNVU 2004709</t>
  </si>
  <si>
    <t>CONTAINER JUMPERS, ELEVADOR MANUAL, LINGADAS E PROTETORES</t>
  </si>
  <si>
    <t>CBT 685</t>
  </si>
  <si>
    <t>CESTA DE HW</t>
  </si>
  <si>
    <t>CBAD 647</t>
  </si>
  <si>
    <t>HW TRANSPORT SKID</t>
  </si>
  <si>
    <t>AO LADO HPU 240</t>
  </si>
  <si>
    <t>PIPT-002/008/001</t>
  </si>
  <si>
    <t>PIPE STAND</t>
  </si>
  <si>
    <t>EM USO</t>
  </si>
  <si>
    <t>DJ-060 / DJ-064 / DJ-066</t>
  </si>
  <si>
    <t>DJ-056 / DJ-061 / DJ-062 / DJ-052</t>
  </si>
  <si>
    <t xml:space="preserve">ELECTRICAL JUMPER 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</si>
  <si>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</si>
  <si>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</si>
  <si>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</si>
  <si>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</si>
  <si>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</si>
  <si>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</si>
  <si>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</si>
  <si>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TSB-010</t>
  </si>
  <si>
    <t xml:space="preserve">TEST BOX XT-MF69 - CAP 25 TON DPR 5K </t>
  </si>
  <si>
    <t>2349-01</t>
  </si>
  <si>
    <t>TSB-005</t>
  </si>
  <si>
    <t>TEST BOX TSB-005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</si>
  <si>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</si>
  <si>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</si>
  <si>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</si>
  <si>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</si>
  <si>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CRO-053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</si>
  <si>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</si>
  <si>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</si>
  <si>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</si>
  <si>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</si>
  <si>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</si>
  <si>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BX-004</t>
  </si>
  <si>
    <t>INSERTO 7 1/8"</t>
  </si>
  <si>
    <t>R-16-13-23283</t>
  </si>
  <si>
    <t xml:space="preserve">SKID N2 </t>
  </si>
  <si>
    <t>AO LADO CABINE 035</t>
  </si>
  <si>
    <t xml:space="preserve">         R-16-21-35396</t>
  </si>
  <si>
    <t>MANGUEIRAS DE AR</t>
  </si>
  <si>
    <t>BDR 001</t>
  </si>
  <si>
    <t>RESTRITOR DE CURVATURA 180º TH PV-8351-01</t>
  </si>
  <si>
    <t xml:space="preserve">GABARITO 4.7/8" </t>
  </si>
  <si>
    <t xml:space="preserve">GABARITO 5.09'' </t>
  </si>
  <si>
    <t>CWJ 003</t>
  </si>
  <si>
    <t>KIT CASED WEAR JOINT</t>
  </si>
  <si>
    <t>512261A / 512262A</t>
  </si>
  <si>
    <t>PAR DE ABRAÇADEIRAS TUBO SFT</t>
  </si>
  <si>
    <t>TORCUP</t>
  </si>
  <si>
    <t>CONTAINER H304 COM SHEAVES E PÓRTICO</t>
  </si>
  <si>
    <t>KH332</t>
  </si>
  <si>
    <t>CONTAINER KH332</t>
  </si>
  <si>
    <t>PRJU9703228</t>
  </si>
  <si>
    <t>CONTAINER PRJU9703228</t>
  </si>
  <si>
    <t>PNE-002</t>
  </si>
  <si>
    <t>PNEUMATIC ELEVATOR</t>
  </si>
  <si>
    <t>TITU660004-2</t>
  </si>
  <si>
    <t>CONTAINER TITU660004-2</t>
  </si>
  <si>
    <t>VOLANTE + CINTA PARA MOVIMENTAÇÃO DE HW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</si>
  <si>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</si>
  <si>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</si>
  <si>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</si>
  <si>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</si>
  <si>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</si>
  <si>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</si>
  <si>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</si>
  <si>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H-304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</si>
  <si>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</si>
  <si>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</si>
  <si>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</si>
  <si>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</si>
  <si>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</si>
  <si>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</si>
  <si>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VG 10</t>
  </si>
  <si>
    <t>LUBRIFIL</t>
  </si>
  <si>
    <t xml:space="preserve">5 LITROS </t>
  </si>
  <si>
    <t>KOPR-KOTE</t>
  </si>
  <si>
    <t>Rosca XTMF-69</t>
  </si>
  <si>
    <t>DRILL FLOOR</t>
  </si>
  <si>
    <t xml:space="preserve">10 KG </t>
  </si>
  <si>
    <t>b</t>
  </si>
  <si>
    <t>PETRONAS TUTELA MR-LM (D472E123)</t>
  </si>
  <si>
    <t>MOBILGEAR 600XP 10</t>
  </si>
  <si>
    <t>TELLUS S2 V  68</t>
  </si>
  <si>
    <t>10 LITROS</t>
  </si>
  <si>
    <t>GREASE KOPR-KTE OILFIELD TOOL JOINT AND DRILL COLLAR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</si>
  <si>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</si>
  <si>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</si>
  <si>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</si>
  <si>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</si>
  <si>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</si>
  <si>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</si>
  <si>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</si>
  <si>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</si>
  <si>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</si>
  <si>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HW-525P (NOVAS)</t>
  </si>
  <si>
    <t>CONTAINER KH-469</t>
  </si>
  <si>
    <t>HW-525P (USADAS)</t>
  </si>
  <si>
    <t>CONTAINER KH-332</t>
  </si>
  <si>
    <t>WD-40</t>
  </si>
  <si>
    <t>LC-15</t>
  </si>
  <si>
    <t>OLEO ENEROAC 1L</t>
  </si>
  <si>
    <t>GRAXA KOPR - KOTE 20KG</t>
  </si>
  <si>
    <t>Sonda</t>
  </si>
  <si>
    <t>Poço</t>
  </si>
  <si>
    <t>DEIVISON ROSA</t>
  </si>
  <si>
    <t>ANDERSON SANTANA</t>
  </si>
  <si>
    <t>Data da Inspeção</t>
  </si>
  <si>
    <t>YASMIN FERREIRA</t>
  </si>
  <si>
    <t>BRUNO ANDRADE</t>
  </si>
  <si>
    <t>Data</t>
  </si>
  <si>
    <t>28/1/2026</t>
  </si>
  <si>
    <t>Campo</t>
  </si>
  <si>
    <t>DANIEL LEIRAS</t>
  </si>
  <si>
    <t>THIAGO BARCELOS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</si>
  <si>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</si>
  <si>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</si>
  <si>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</si>
  <si>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</si>
  <si>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</si>
  <si>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</si>
  <si>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</si>
  <si>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3120-2</t>
  </si>
  <si>
    <t>PIPE DECK</t>
  </si>
  <si>
    <t>WORK VAN</t>
  </si>
  <si>
    <t>AA9807</t>
  </si>
  <si>
    <t>CONTAINER OFICINA</t>
  </si>
  <si>
    <t>826-SM</t>
  </si>
  <si>
    <t>DECK GEOLOGIA</t>
  </si>
  <si>
    <t>BC-26333</t>
  </si>
  <si>
    <t>MOON POOL</t>
  </si>
  <si>
    <t>R-16-21-35396</t>
  </si>
  <si>
    <t>523257-1</t>
  </si>
  <si>
    <t>ABZ/5232570001</t>
  </si>
  <si>
    <t>H-304</t>
  </si>
  <si>
    <t>CONTAINER COM SHEAVES E PÓRTICO</t>
  </si>
  <si>
    <t>SOS20A/00077</t>
  </si>
  <si>
    <t>10DRY14466</t>
  </si>
  <si>
    <t>CONTEINER DE CLAMPS OS (CLP-024)</t>
  </si>
  <si>
    <t>OS-189965-4</t>
  </si>
  <si>
    <t>1081068-1-4</t>
  </si>
  <si>
    <t>SSF 002</t>
  </si>
  <si>
    <t>KH469</t>
  </si>
  <si>
    <t>CONTAINER KH469 - CONTAINER COM HW</t>
  </si>
  <si>
    <t>00167/13</t>
  </si>
  <si>
    <t>19/08/2026</t>
  </si>
  <si>
    <t>CONTAINER KH332 - CONTAINER COM HW</t>
  </si>
  <si>
    <t>SES12A/00036</t>
  </si>
  <si>
    <t>13/01/2027</t>
  </si>
  <si>
    <t>BC-60-2</t>
  </si>
  <si>
    <t>ESLINGA PRA TUBO DPR</t>
  </si>
  <si>
    <t>Container de HW</t>
  </si>
  <si>
    <t>200F/1303/00032</t>
  </si>
  <si>
    <t>BC-2417874</t>
  </si>
  <si>
    <t xml:space="preserve">826-SM 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</si>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</sst>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dd/mm/yy;@"/>
    <numFmt numFmtId="166" formatCode="yyyy\-mm\-dd;@"/>
  </numFmts>
  <fonts count="2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 hidden="1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 hidden="1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>
      <alignment horizontal="center" vertical="center"/>
    </xf>
    <xf numFmtId="164" fontId="14" fillId="0" borderId="33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>
      <alignment horizontal="center" vertical="center"/>
    </xf>
    <xf numFmtId="0" fontId="6" fillId="0" borderId="45" xfId="0" applyFont="1" applyBorder="1" applyAlignment="1" applyProtection="1">
      <alignment horizontal="center" vertical="center"/>
      <protection locked="0"/>
    </xf>
    <xf numFmtId="164" fontId="6" fillId="0" borderId="45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 applyProtection="1">
      <alignment horizontal="center" vertical="center" wrapText="1"/>
      <protection locked="0"/>
    </xf>
    <xf numFmtId="0" fontId="6" fillId="0" borderId="45" xfId="0" applyFont="1" applyBorder="1" applyAlignment="1" applyProtection="1">
      <alignment horizontal="center" vertical="center"/>
      <protection locked="0" hidden="1"/>
    </xf>
    <xf numFmtId="0" fontId="6" fillId="0" borderId="45" xfId="0" applyFont="1" applyBorder="1" applyAlignment="1" applyProtection="1">
      <alignment horizontal="center" vertical="center"/>
      <protection hidden="1"/>
    </xf>
    <xf numFmtId="16" fontId="6" fillId="0" borderId="45" xfId="0" applyNumberFormat="1" applyFont="1" applyBorder="1" applyAlignment="1" applyProtection="1">
      <alignment horizontal="center" vertical="center"/>
      <protection locked="0"/>
    </xf>
    <xf numFmtId="165" fontId="6" fillId="0" borderId="45" xfId="0" applyNumberFormat="1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164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164" fontId="6" fillId="0" borderId="33" xfId="0" applyNumberFormat="1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164" fontId="6" fillId="0" borderId="47" xfId="0" applyNumberFormat="1" applyFont="1" applyBorder="1" applyAlignment="1" applyProtection="1">
      <alignment horizontal="center" vertical="center"/>
      <protection locked="0"/>
    </xf>
    <xf numFmtId="165" fontId="6" fillId="0" borderId="47" xfId="0" applyNumberFormat="1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47" xfId="0" applyFont="1" applyBorder="1" applyAlignment="1" applyProtection="1">
      <alignment horizontal="center" vertical="center"/>
      <protection locked="0"/>
    </xf>
    <xf numFmtId="3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/>
      <protection locked="0"/>
    </xf>
    <xf numFmtId="164" fontId="21" fillId="0" borderId="33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horizontal="center" vertical="center"/>
      <protection locked="0" hidden="1"/>
    </xf>
    <xf numFmtId="0" fontId="21" fillId="0" borderId="33" xfId="0" applyFont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0" fillId="0" borderId="0" xfId="0" applyAlignment="1">
      <alignment horizontal="center"/>
    </xf>
    <xf numFmtId="166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8" fillId="4" borderId="33" xfId="0" applyFont="1" applyFill="1" applyBorder="1" applyAlignment="1" applyProtection="1">
      <alignment horizontal="center" vertical="center"/>
      <protection locked="0"/>
    </xf>
    <xf numFmtId="164" fontId="18" fillId="4" borderId="33" xfId="0" applyNumberFormat="1" applyFont="1" applyFill="1" applyBorder="1" applyAlignment="1">
      <alignment horizontal="center" vertical="center"/>
    </xf>
    <xf numFmtId="164" fontId="18" fillId="4" borderId="33" xfId="0" applyNumberFormat="1" applyFont="1" applyFill="1" applyBorder="1" applyAlignment="1" applyProtection="1">
      <alignment horizontal="center" vertical="center"/>
      <protection locked="0"/>
    </xf>
    <xf numFmtId="0" fontId="18" fillId="4" borderId="33" xfId="0" applyFont="1" applyFill="1" applyBorder="1" applyAlignment="1" applyProtection="1">
      <alignment horizontal="center" vertical="center"/>
      <protection locked="0" hidden="1"/>
    </xf>
    <xf numFmtId="164" fontId="6" fillId="0" borderId="41" xfId="0" applyNumberFormat="1" applyFont="1" applyBorder="1" applyAlignment="1">
      <alignment horizontal="center" vertical="center"/>
    </xf>
    <xf numFmtId="0" fontId="6" fillId="4" borderId="45" xfId="0" applyFont="1" applyFill="1" applyBorder="1" applyAlignment="1" applyProtection="1">
      <alignment horizontal="center" vertical="center"/>
      <protection locked="0"/>
    </xf>
    <xf numFmtId="0" fontId="6" fillId="4" borderId="34" xfId="0" applyFont="1" applyFill="1" applyBorder="1" applyAlignment="1" applyProtection="1">
      <alignment horizontal="center" vertical="center"/>
      <protection locked="0"/>
    </xf>
    <xf numFmtId="0" fontId="6" fillId="4" borderId="32" xfId="0" applyFont="1" applyFill="1" applyBorder="1" applyAlignment="1" applyProtection="1">
      <alignment horizontal="center" vertical="center"/>
      <protection locked="0"/>
    </xf>
    <xf numFmtId="0" fontId="6" fillId="4" borderId="47" xfId="0" applyFont="1" applyFill="1" applyBorder="1" applyAlignment="1" applyProtection="1">
      <alignment horizontal="center" vertical="center"/>
      <protection locked="0"/>
    </xf>
    <xf numFmtId="0" fontId="14" fillId="4" borderId="33" xfId="0" applyFont="1" applyFill="1" applyBorder="1" applyAlignment="1">
      <alignment horizontal="center" vertical="center"/>
    </xf>
    <xf numFmtId="164" fontId="6" fillId="0" borderId="40" xfId="0" applyNumberFormat="1" applyFont="1" applyBorder="1" applyAlignment="1" applyProtection="1">
      <alignment horizontal="center" vertical="center" wrapText="1"/>
      <protection locked="0"/>
    </xf>
    <xf numFmtId="164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 applyProtection="1">
      <alignment horizontal="left" vertical="center" wrapText="1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0" fillId="0" borderId="3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5" xfId="0" applyFont="1" applyBorder="1" applyAlignment="1" applyProtection="1">
      <alignment horizontal="left" vertical="center"/>
      <protection hidden="1"/>
    </xf>
    <xf numFmtId="0" fontId="6" fillId="0" borderId="45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21" fillId="0" borderId="33" xfId="0" applyFont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41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41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0" fontId="18" fillId="4" borderId="33" xfId="0" applyFont="1" applyFill="1" applyBorder="1" applyAlignment="1" applyProtection="1">
      <alignment horizontal="left" vertical="center"/>
      <protection hidden="1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14" fillId="4" borderId="38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6" fillId="0" borderId="10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hidden="1"/>
    </xf>
    <xf numFmtId="0" fontId="6" fillId="4" borderId="25" xfId="0" applyFont="1" applyFill="1" applyBorder="1" applyAlignment="1" applyProtection="1">
      <alignment horizontal="center" vertical="center"/>
      <protection hidden="1"/>
    </xf>
    <xf numFmtId="0" fontId="6" fillId="4" borderId="35" xfId="0" applyFont="1" applyFill="1" applyBorder="1" applyAlignment="1" applyProtection="1">
      <alignment horizontal="center" vertical="center"/>
      <protection hidden="1"/>
    </xf>
    <xf numFmtId="0" fontId="6" fillId="0" borderId="49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9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onsumíveis"/>
      <sheetName val="Controle de Eslingas"/>
      <sheetName val="High Torc"/>
      <sheetName val="Dropdown"/>
      <sheetName val="Plan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31"/>
  <sheetViews>
    <sheetView showGridLines="0" tabSelected="1" topLeftCell="B1" zoomScale="70" zoomScaleNormal="70" workbookViewId="0">
      <pane xSplit="2" ySplit="11" topLeftCell="D45" activePane="bottomRight" state="frozen"/>
      <selection pane="bottomRight" activeCell="A52" sqref="A52:XFD52"/>
      <selection pane="bottomLeft"/>
      <selection pane="topRight"/>
    </sheetView>
  </sheetViews>
  <sheetFormatPr defaultColWidth="0" defaultRowHeight="0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2.7109375" style="3" customWidth="1"/>
    <col min="7" max="9" width="13.7109375" style="3" customWidth="1"/>
    <col min="10" max="10" width="29.5703125" style="3" customWidth="1"/>
    <col min="11" max="11" width="25.7109375" style="3" customWidth="1"/>
    <col min="12" max="12" width="25.42578125" style="3" customWidth="1"/>
    <col min="13" max="13" width="13.7109375" style="3" customWidth="1"/>
    <col min="14" max="14" width="17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</row>
    <row r="2" spans="1:24" ht="5.0999999999999996" customHeight="1" thickBot="1">
      <c r="B2" s="221"/>
      <c r="C2" s="222"/>
      <c r="D2" s="222"/>
      <c r="E2" s="222"/>
      <c r="F2" s="226"/>
      <c r="G2" s="226"/>
      <c r="H2" s="226"/>
      <c r="I2" s="226"/>
      <c r="J2" s="21"/>
      <c r="K2" s="21"/>
      <c r="L2" s="222"/>
      <c r="M2" s="222"/>
      <c r="N2" s="222"/>
      <c r="O2" s="222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223"/>
      <c r="C3" s="220"/>
      <c r="D3" s="220"/>
      <c r="E3" s="220"/>
      <c r="F3" s="227" t="s">
        <v>0</v>
      </c>
      <c r="G3" s="228"/>
      <c r="H3" s="228"/>
      <c r="I3" s="228"/>
      <c r="J3" s="228"/>
      <c r="K3" s="228"/>
      <c r="L3" s="228"/>
      <c r="M3" s="228"/>
      <c r="N3" s="228"/>
      <c r="O3" s="229"/>
      <c r="Q3" s="227" t="s">
        <v>1</v>
      </c>
      <c r="R3" s="228"/>
      <c r="S3" s="228"/>
      <c r="T3" s="228"/>
      <c r="U3" s="228"/>
      <c r="V3" s="228"/>
      <c r="W3" s="229"/>
    </row>
    <row r="4" spans="1:24" ht="5.0999999999999996" customHeight="1" thickBot="1">
      <c r="B4" s="223"/>
      <c r="C4" s="220"/>
      <c r="D4" s="220"/>
      <c r="E4" s="220"/>
      <c r="F4" s="226"/>
      <c r="G4" s="226"/>
      <c r="H4" s="226"/>
      <c r="I4" s="226"/>
      <c r="J4" s="18"/>
      <c r="K4" s="18"/>
      <c r="L4" s="220"/>
      <c r="M4" s="220"/>
      <c r="N4" s="220"/>
      <c r="O4" s="220"/>
      <c r="Q4" s="240"/>
      <c r="R4" s="241"/>
      <c r="S4" s="241"/>
      <c r="T4" s="241"/>
      <c r="U4" s="241"/>
      <c r="V4" s="241"/>
      <c r="W4" s="242"/>
    </row>
    <row r="5" spans="1:24" ht="20.100000000000001" customHeight="1" thickBot="1">
      <c r="B5" s="223"/>
      <c r="C5" s="220"/>
      <c r="D5" s="220"/>
      <c r="E5" s="220"/>
      <c r="F5" s="55" t="s">
        <v>2</v>
      </c>
      <c r="G5" s="237" t="s">
        <v>3</v>
      </c>
      <c r="H5" s="235"/>
      <c r="I5" s="236"/>
      <c r="J5" s="18"/>
      <c r="K5" s="18"/>
      <c r="L5" s="55" t="s">
        <v>4</v>
      </c>
      <c r="M5" s="237" t="s">
        <v>5</v>
      </c>
      <c r="N5" s="235"/>
      <c r="O5" s="236"/>
      <c r="Q5" s="243" t="s">
        <v>6</v>
      </c>
      <c r="R5" s="244"/>
      <c r="S5" s="245" t="s">
        <v>7</v>
      </c>
      <c r="T5" s="246"/>
      <c r="U5" s="243" t="s">
        <v>6</v>
      </c>
      <c r="V5" s="244"/>
      <c r="W5" s="50"/>
    </row>
    <row r="6" spans="1:24" ht="20.100000000000001" customHeight="1" thickBot="1">
      <c r="B6" s="223"/>
      <c r="C6" s="220"/>
      <c r="D6" s="220"/>
      <c r="E6" s="220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230" t="s">
        <v>8</v>
      </c>
      <c r="R6" s="231"/>
      <c r="S6" s="232" t="s">
        <v>9</v>
      </c>
      <c r="T6" s="233"/>
      <c r="U6" s="230" t="s">
        <v>8</v>
      </c>
      <c r="V6" s="231"/>
      <c r="W6" s="50" t="s">
        <v>10</v>
      </c>
    </row>
    <row r="7" spans="1:24" ht="20.100000000000001" customHeight="1" thickBot="1">
      <c r="B7" s="223"/>
      <c r="C7" s="220"/>
      <c r="D7" s="220"/>
      <c r="E7" s="220"/>
      <c r="F7" s="55" t="s">
        <v>11</v>
      </c>
      <c r="G7" s="234" t="s">
        <v>12</v>
      </c>
      <c r="H7" s="235"/>
      <c r="I7" s="236"/>
      <c r="J7" s="18"/>
      <c r="K7" s="18"/>
      <c r="L7" s="55" t="s">
        <v>13</v>
      </c>
      <c r="M7" s="237" t="s">
        <v>14</v>
      </c>
      <c r="N7" s="235"/>
      <c r="O7" s="236"/>
      <c r="P7" s="4"/>
      <c r="Q7" s="230" t="s">
        <v>8</v>
      </c>
      <c r="R7" s="231"/>
      <c r="S7" s="238" t="s">
        <v>15</v>
      </c>
      <c r="T7" s="239"/>
      <c r="U7" s="230" t="s">
        <v>8</v>
      </c>
      <c r="V7" s="231"/>
      <c r="W7" s="50" t="s">
        <v>16</v>
      </c>
    </row>
    <row r="8" spans="1:24" ht="5.0999999999999996" customHeight="1" thickBot="1">
      <c r="B8" s="224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47"/>
    </row>
    <row r="9" spans="1:24" s="5" customFormat="1" ht="25.15" customHeight="1" thickBot="1">
      <c r="B9" s="227" t="s">
        <v>17</v>
      </c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9"/>
    </row>
    <row r="10" spans="1:24" ht="5.0999999999999996" customHeight="1">
      <c r="B10" s="223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</row>
    <row r="11" spans="1:24" s="84" customFormat="1" ht="30" customHeight="1" thickBot="1">
      <c r="B11" s="109" t="s">
        <v>18</v>
      </c>
      <c r="C11" s="109" t="s">
        <v>19</v>
      </c>
      <c r="D11" s="109" t="s">
        <v>20</v>
      </c>
      <c r="E11" s="109" t="s">
        <v>21</v>
      </c>
      <c r="F11" s="109" t="s">
        <v>22</v>
      </c>
      <c r="G11" s="248" t="s">
        <v>23</v>
      </c>
      <c r="H11" s="248"/>
      <c r="I11" s="248"/>
      <c r="J11" s="248"/>
      <c r="K11" s="109" t="s">
        <v>24</v>
      </c>
      <c r="L11" s="109" t="s">
        <v>25</v>
      </c>
      <c r="M11" s="109" t="s">
        <v>26</v>
      </c>
      <c r="N11" s="109" t="s">
        <v>27</v>
      </c>
      <c r="O11" s="248" t="s">
        <v>28</v>
      </c>
      <c r="P11" s="248"/>
      <c r="Q11" s="109" t="s">
        <v>29</v>
      </c>
      <c r="R11" s="109" t="s">
        <v>30</v>
      </c>
      <c r="S11" s="109" t="s">
        <v>31</v>
      </c>
      <c r="T11" s="109" t="s">
        <v>32</v>
      </c>
      <c r="U11" s="109" t="s">
        <v>33</v>
      </c>
      <c r="V11" s="109" t="s">
        <v>34</v>
      </c>
      <c r="W11" s="109" t="s">
        <v>35</v>
      </c>
    </row>
    <row r="12" spans="1:24" s="84" customFormat="1" ht="45.75" customHeight="1">
      <c r="A12" s="108"/>
      <c r="B12" s="110">
        <v>1</v>
      </c>
      <c r="C12" s="249" t="s">
        <v>36</v>
      </c>
      <c r="D12" s="202">
        <v>0</v>
      </c>
      <c r="E12" s="164">
        <v>495094</v>
      </c>
      <c r="F12" s="165" t="s">
        <v>37</v>
      </c>
      <c r="G12" s="253" t="s">
        <v>38</v>
      </c>
      <c r="H12" s="253"/>
      <c r="I12" s="253"/>
      <c r="J12" s="253"/>
      <c r="K12" s="166" t="s">
        <v>39</v>
      </c>
      <c r="L12" s="163" t="s">
        <v>40</v>
      </c>
      <c r="M12" s="163"/>
      <c r="N12" s="167"/>
      <c r="O12" s="254"/>
      <c r="P12" s="254"/>
      <c r="Q12" s="163"/>
      <c r="R12" s="168"/>
      <c r="S12" s="163"/>
      <c r="T12" s="169"/>
      <c r="U12" s="163"/>
      <c r="V12" s="169"/>
      <c r="W12" s="170"/>
      <c r="X12" s="85"/>
    </row>
    <row r="13" spans="1:24" s="84" customFormat="1" ht="45.75" customHeight="1">
      <c r="A13" s="108"/>
      <c r="B13" s="152">
        <v>2</v>
      </c>
      <c r="C13" s="250"/>
      <c r="D13" s="95">
        <v>0</v>
      </c>
      <c r="E13" s="78">
        <v>495094</v>
      </c>
      <c r="F13" s="97" t="s">
        <v>41</v>
      </c>
      <c r="G13" s="215" t="s">
        <v>38</v>
      </c>
      <c r="H13" s="215"/>
      <c r="I13" s="215"/>
      <c r="J13" s="215"/>
      <c r="K13" s="79" t="s">
        <v>39</v>
      </c>
      <c r="L13" s="94" t="s">
        <v>42</v>
      </c>
      <c r="M13" s="94"/>
      <c r="N13" s="81"/>
      <c r="O13" s="218"/>
      <c r="P13" s="218"/>
      <c r="Q13" s="94"/>
      <c r="R13" s="98"/>
      <c r="S13" s="94"/>
      <c r="T13" s="83"/>
      <c r="U13" s="94"/>
      <c r="V13" s="83"/>
      <c r="W13" s="115"/>
      <c r="X13" s="85"/>
    </row>
    <row r="14" spans="1:24" s="84" customFormat="1" ht="25.15" customHeight="1">
      <c r="A14" s="108"/>
      <c r="B14" s="114">
        <v>3</v>
      </c>
      <c r="C14" s="251"/>
      <c r="D14" s="95">
        <v>0</v>
      </c>
      <c r="E14" s="78" t="s">
        <v>43</v>
      </c>
      <c r="F14" s="99" t="s">
        <v>44</v>
      </c>
      <c r="G14" s="255" t="s">
        <v>45</v>
      </c>
      <c r="H14" s="255"/>
      <c r="I14" s="255"/>
      <c r="J14" s="255"/>
      <c r="K14" s="99" t="s">
        <v>39</v>
      </c>
      <c r="L14" s="94" t="s">
        <v>40</v>
      </c>
      <c r="M14" s="94"/>
      <c r="N14" s="81"/>
      <c r="O14" s="218"/>
      <c r="P14" s="218"/>
      <c r="Q14" s="94"/>
      <c r="R14" s="98"/>
      <c r="S14" s="94"/>
      <c r="T14" s="83"/>
      <c r="U14" s="94"/>
      <c r="V14" s="83"/>
      <c r="W14" s="115"/>
      <c r="X14" s="85"/>
    </row>
    <row r="15" spans="1:24" s="84" customFormat="1" ht="25.15" customHeight="1">
      <c r="A15" s="108"/>
      <c r="B15" s="114">
        <v>4</v>
      </c>
      <c r="C15" s="251"/>
      <c r="D15" s="95">
        <v>50</v>
      </c>
      <c r="E15" s="78">
        <v>495075</v>
      </c>
      <c r="F15" s="99" t="s">
        <v>43</v>
      </c>
      <c r="G15" s="280" t="s">
        <v>46</v>
      </c>
      <c r="H15" s="281"/>
      <c r="I15" s="281"/>
      <c r="J15" s="282"/>
      <c r="K15" s="99" t="s">
        <v>47</v>
      </c>
      <c r="L15" s="94" t="s">
        <v>42</v>
      </c>
      <c r="M15" s="94"/>
      <c r="N15" s="81"/>
      <c r="O15" s="94"/>
      <c r="P15" s="94"/>
      <c r="Q15" s="94"/>
      <c r="R15" s="98"/>
      <c r="S15" s="94"/>
      <c r="T15" s="83"/>
      <c r="U15" s="94"/>
      <c r="V15" s="83"/>
      <c r="W15" s="115"/>
      <c r="X15" s="85"/>
    </row>
    <row r="16" spans="1:24" s="84" customFormat="1" ht="25.15" customHeight="1">
      <c r="A16" s="108"/>
      <c r="B16" s="110">
        <v>5</v>
      </c>
      <c r="C16" s="251"/>
      <c r="D16" s="95">
        <v>0</v>
      </c>
      <c r="E16" s="78">
        <v>495096</v>
      </c>
      <c r="F16" s="99" t="s">
        <v>48</v>
      </c>
      <c r="G16" s="215" t="s">
        <v>49</v>
      </c>
      <c r="H16" s="215"/>
      <c r="I16" s="215"/>
      <c r="J16" s="215"/>
      <c r="K16" s="79" t="s">
        <v>39</v>
      </c>
      <c r="L16" s="94" t="s">
        <v>40</v>
      </c>
      <c r="M16" s="94"/>
      <c r="N16" s="81"/>
      <c r="O16" s="218"/>
      <c r="P16" s="218"/>
      <c r="Q16" s="94"/>
      <c r="R16" s="98"/>
      <c r="S16" s="94"/>
      <c r="T16" s="83"/>
      <c r="U16" s="94"/>
      <c r="V16" s="83"/>
      <c r="W16" s="115"/>
      <c r="X16" s="85"/>
    </row>
    <row r="17" spans="1:24" s="84" customFormat="1" ht="25.15" customHeight="1">
      <c r="A17" s="108"/>
      <c r="B17" s="152">
        <v>6</v>
      </c>
      <c r="C17" s="251"/>
      <c r="D17" s="95">
        <v>0</v>
      </c>
      <c r="E17" s="78">
        <v>495096</v>
      </c>
      <c r="F17" s="99" t="s">
        <v>50</v>
      </c>
      <c r="G17" s="215" t="s">
        <v>49</v>
      </c>
      <c r="H17" s="215"/>
      <c r="I17" s="215"/>
      <c r="J17" s="215"/>
      <c r="K17" s="79" t="s">
        <v>39</v>
      </c>
      <c r="L17" s="94" t="s">
        <v>42</v>
      </c>
      <c r="M17" s="94"/>
      <c r="N17" s="81"/>
      <c r="O17" s="218"/>
      <c r="P17" s="218"/>
      <c r="Q17" s="94"/>
      <c r="R17" s="98"/>
      <c r="S17" s="94"/>
      <c r="T17" s="83"/>
      <c r="U17" s="94"/>
      <c r="V17" s="83"/>
      <c r="W17" s="115"/>
      <c r="X17" s="85"/>
    </row>
    <row r="18" spans="1:24" s="84" customFormat="1" ht="25.15" customHeight="1">
      <c r="A18" s="108"/>
      <c r="B18" s="114">
        <v>7</v>
      </c>
      <c r="C18" s="251"/>
      <c r="D18" s="95">
        <v>0</v>
      </c>
      <c r="E18" s="78">
        <v>495078</v>
      </c>
      <c r="F18" s="99" t="s">
        <v>51</v>
      </c>
      <c r="G18" s="215" t="s">
        <v>52</v>
      </c>
      <c r="H18" s="215"/>
      <c r="I18" s="215"/>
      <c r="J18" s="215"/>
      <c r="K18" s="79" t="s">
        <v>39</v>
      </c>
      <c r="L18" s="94" t="s">
        <v>42</v>
      </c>
      <c r="M18" s="94"/>
      <c r="N18" s="81"/>
      <c r="O18" s="218"/>
      <c r="P18" s="218"/>
      <c r="Q18" s="100"/>
      <c r="R18" s="82"/>
      <c r="S18" s="94"/>
      <c r="T18" s="83"/>
      <c r="U18" s="94"/>
      <c r="V18" s="83"/>
      <c r="W18" s="115"/>
      <c r="X18" s="85"/>
    </row>
    <row r="19" spans="1:24" s="84" customFormat="1" ht="25.15" customHeight="1">
      <c r="A19" s="108"/>
      <c r="B19" s="114">
        <v>8</v>
      </c>
      <c r="C19" s="251"/>
      <c r="D19" s="192">
        <v>0</v>
      </c>
      <c r="E19" s="188">
        <v>495078</v>
      </c>
      <c r="F19" s="189" t="s">
        <v>53</v>
      </c>
      <c r="G19" s="256" t="s">
        <v>54</v>
      </c>
      <c r="H19" s="256"/>
      <c r="I19" s="256"/>
      <c r="J19" s="256"/>
      <c r="K19" s="190" t="s">
        <v>47</v>
      </c>
      <c r="L19" s="191" t="s">
        <v>55</v>
      </c>
      <c r="M19" s="94"/>
      <c r="N19" s="81"/>
      <c r="O19" s="218"/>
      <c r="P19" s="218"/>
      <c r="Q19" s="100"/>
      <c r="R19" s="82"/>
      <c r="S19" s="94"/>
      <c r="T19" s="83"/>
      <c r="U19" s="94"/>
      <c r="V19" s="83"/>
      <c r="W19" s="115"/>
      <c r="X19" s="85"/>
    </row>
    <row r="20" spans="1:24" s="84" customFormat="1" ht="25.15" customHeight="1">
      <c r="A20" s="108"/>
      <c r="B20" s="110">
        <v>9</v>
      </c>
      <c r="C20" s="251"/>
      <c r="D20" s="95">
        <v>0</v>
      </c>
      <c r="E20" s="78">
        <v>495077</v>
      </c>
      <c r="F20" s="99" t="s">
        <v>56</v>
      </c>
      <c r="G20" s="211" t="s">
        <v>57</v>
      </c>
      <c r="H20" s="211"/>
      <c r="I20" s="211"/>
      <c r="J20" s="211"/>
      <c r="K20" s="79" t="s">
        <v>39</v>
      </c>
      <c r="L20" s="181" t="s">
        <v>58</v>
      </c>
      <c r="M20" s="94"/>
      <c r="N20" s="81"/>
      <c r="O20" s="94"/>
      <c r="P20" s="94"/>
      <c r="Q20" s="100"/>
      <c r="R20" s="82"/>
      <c r="S20" s="94"/>
      <c r="T20" s="83"/>
      <c r="U20" s="94"/>
      <c r="V20" s="83"/>
      <c r="W20" s="115"/>
      <c r="X20" s="85"/>
    </row>
    <row r="21" spans="1:24" s="84" customFormat="1" ht="25.15" customHeight="1">
      <c r="A21" s="108"/>
      <c r="B21" s="152">
        <v>10</v>
      </c>
      <c r="C21" s="251"/>
      <c r="D21" s="95">
        <v>0</v>
      </c>
      <c r="E21" s="78">
        <v>495077</v>
      </c>
      <c r="F21" s="102" t="s">
        <v>59</v>
      </c>
      <c r="G21" s="211" t="s">
        <v>57</v>
      </c>
      <c r="H21" s="211"/>
      <c r="I21" s="211"/>
      <c r="J21" s="211"/>
      <c r="K21" s="79" t="s">
        <v>39</v>
      </c>
      <c r="L21" s="133" t="s">
        <v>42</v>
      </c>
      <c r="M21" s="94"/>
      <c r="N21" s="81"/>
      <c r="O21" s="218"/>
      <c r="P21" s="218"/>
      <c r="Q21" s="100"/>
      <c r="R21" s="82"/>
      <c r="S21" s="94"/>
      <c r="T21" s="83"/>
      <c r="U21" s="94"/>
      <c r="V21" s="83"/>
      <c r="W21" s="115"/>
      <c r="X21" s="85"/>
    </row>
    <row r="22" spans="1:24" s="84" customFormat="1" ht="25.15" customHeight="1">
      <c r="A22" s="108"/>
      <c r="B22" s="114">
        <v>11</v>
      </c>
      <c r="C22" s="251"/>
      <c r="D22" s="95">
        <v>0</v>
      </c>
      <c r="E22" s="78">
        <v>495077</v>
      </c>
      <c r="F22" s="102" t="s">
        <v>60</v>
      </c>
      <c r="G22" s="211" t="s">
        <v>57</v>
      </c>
      <c r="H22" s="211"/>
      <c r="I22" s="211"/>
      <c r="J22" s="211"/>
      <c r="K22" s="79" t="s">
        <v>39</v>
      </c>
      <c r="L22" s="133" t="s">
        <v>58</v>
      </c>
      <c r="M22" s="94"/>
      <c r="N22" s="81"/>
      <c r="O22" s="218"/>
      <c r="P22" s="218"/>
      <c r="Q22" s="100"/>
      <c r="R22" s="82"/>
      <c r="S22" s="94"/>
      <c r="T22" s="83"/>
      <c r="U22" s="94"/>
      <c r="V22" s="83"/>
      <c r="W22" s="115"/>
      <c r="X22" s="85"/>
    </row>
    <row r="23" spans="1:24" s="84" customFormat="1" ht="25.15" customHeight="1">
      <c r="A23" s="108"/>
      <c r="B23" s="114">
        <v>12</v>
      </c>
      <c r="C23" s="251"/>
      <c r="D23" s="95">
        <v>2</v>
      </c>
      <c r="E23" s="78"/>
      <c r="F23" s="102" t="s">
        <v>61</v>
      </c>
      <c r="G23" s="211" t="s">
        <v>62</v>
      </c>
      <c r="H23" s="211"/>
      <c r="I23" s="211"/>
      <c r="J23" s="211"/>
      <c r="K23" s="79" t="s">
        <v>47</v>
      </c>
      <c r="L23" s="133" t="s">
        <v>43</v>
      </c>
      <c r="M23" s="94"/>
      <c r="N23" s="81"/>
      <c r="O23" s="94"/>
      <c r="P23" s="94"/>
      <c r="Q23" s="100"/>
      <c r="R23" s="82"/>
      <c r="S23" s="94"/>
      <c r="T23" s="83"/>
      <c r="U23" s="94"/>
      <c r="V23" s="83"/>
      <c r="W23" s="115"/>
      <c r="X23" s="85"/>
    </row>
    <row r="24" spans="1:24" s="84" customFormat="1" ht="25.15" customHeight="1">
      <c r="A24" s="108"/>
      <c r="B24" s="110">
        <v>13</v>
      </c>
      <c r="C24" s="251"/>
      <c r="D24" s="95">
        <v>0</v>
      </c>
      <c r="E24" s="78">
        <v>495076</v>
      </c>
      <c r="F24" s="102" t="s">
        <v>63</v>
      </c>
      <c r="G24" s="211" t="s">
        <v>64</v>
      </c>
      <c r="H24" s="211"/>
      <c r="I24" s="211"/>
      <c r="J24" s="211"/>
      <c r="K24" s="79" t="s">
        <v>65</v>
      </c>
      <c r="L24" s="133" t="s">
        <v>42</v>
      </c>
      <c r="M24" s="94"/>
      <c r="N24" s="81"/>
      <c r="O24" s="218"/>
      <c r="P24" s="218"/>
      <c r="Q24" s="100"/>
      <c r="R24" s="82"/>
      <c r="S24" s="94"/>
      <c r="T24" s="83"/>
      <c r="U24" s="94"/>
      <c r="V24" s="83"/>
      <c r="W24" s="115"/>
      <c r="X24" s="85"/>
    </row>
    <row r="25" spans="1:24" s="84" customFormat="1" ht="25.15" customHeight="1">
      <c r="A25" s="108"/>
      <c r="B25" s="152">
        <v>14</v>
      </c>
      <c r="C25" s="251"/>
      <c r="D25" s="95">
        <v>0</v>
      </c>
      <c r="E25" s="78">
        <v>495076</v>
      </c>
      <c r="F25" s="99" t="s">
        <v>43</v>
      </c>
      <c r="G25" s="215" t="s">
        <v>64</v>
      </c>
      <c r="H25" s="215"/>
      <c r="I25" s="215"/>
      <c r="J25" s="215"/>
      <c r="K25" s="99" t="s">
        <v>43</v>
      </c>
      <c r="L25" s="94" t="s">
        <v>43</v>
      </c>
      <c r="M25" s="94"/>
      <c r="N25" s="81"/>
      <c r="O25" s="218"/>
      <c r="P25" s="218"/>
      <c r="Q25" s="100"/>
      <c r="R25" s="82"/>
      <c r="S25" s="94"/>
      <c r="T25" s="83"/>
      <c r="U25" s="94"/>
      <c r="V25" s="83"/>
      <c r="W25" s="115"/>
      <c r="X25" s="85"/>
    </row>
    <row r="26" spans="1:24" s="84" customFormat="1" ht="25.15" customHeight="1">
      <c r="A26" s="108"/>
      <c r="B26" s="114">
        <v>15</v>
      </c>
      <c r="C26" s="251"/>
      <c r="D26" s="95">
        <v>1</v>
      </c>
      <c r="E26" s="103">
        <v>495081</v>
      </c>
      <c r="F26" s="102" t="s">
        <v>66</v>
      </c>
      <c r="G26" s="211" t="s">
        <v>67</v>
      </c>
      <c r="H26" s="211"/>
      <c r="I26" s="211"/>
      <c r="J26" s="211"/>
      <c r="K26" s="104" t="s">
        <v>47</v>
      </c>
      <c r="L26" s="133"/>
      <c r="M26" s="94"/>
      <c r="N26" s="81"/>
      <c r="O26" s="218"/>
      <c r="P26" s="218"/>
      <c r="Q26" s="100"/>
      <c r="R26" s="82"/>
      <c r="S26" s="94"/>
      <c r="T26" s="83"/>
      <c r="U26" s="94"/>
      <c r="V26" s="83"/>
      <c r="W26" s="116" t="s">
        <v>68</v>
      </c>
      <c r="X26" s="85"/>
    </row>
    <row r="27" spans="1:24" s="84" customFormat="1" ht="25.15" customHeight="1">
      <c r="A27" s="108"/>
      <c r="B27" s="114">
        <v>16</v>
      </c>
      <c r="C27" s="251"/>
      <c r="D27" s="95">
        <v>1</v>
      </c>
      <c r="E27" s="103">
        <v>495082</v>
      </c>
      <c r="F27" s="102" t="s">
        <v>69</v>
      </c>
      <c r="G27" s="211" t="s">
        <v>70</v>
      </c>
      <c r="H27" s="211"/>
      <c r="I27" s="211"/>
      <c r="J27" s="211"/>
      <c r="K27" s="104" t="s">
        <v>47</v>
      </c>
      <c r="L27" s="133"/>
      <c r="M27" s="94"/>
      <c r="N27" s="81"/>
      <c r="O27" s="218"/>
      <c r="P27" s="218"/>
      <c r="Q27" s="100"/>
      <c r="R27" s="82"/>
      <c r="S27" s="94"/>
      <c r="T27" s="83"/>
      <c r="U27" s="94"/>
      <c r="V27" s="83"/>
      <c r="W27" s="116" t="s">
        <v>68</v>
      </c>
      <c r="X27" s="85"/>
    </row>
    <row r="28" spans="1:24" s="84" customFormat="1" ht="25.15" customHeight="1">
      <c r="A28" s="108"/>
      <c r="B28" s="110">
        <v>17</v>
      </c>
      <c r="C28" s="251"/>
      <c r="D28" s="197">
        <v>1</v>
      </c>
      <c r="E28" s="198">
        <v>495083</v>
      </c>
      <c r="F28" s="199" t="s">
        <v>71</v>
      </c>
      <c r="G28" s="288" t="s">
        <v>72</v>
      </c>
      <c r="H28" s="288"/>
      <c r="I28" s="288"/>
      <c r="J28" s="288"/>
      <c r="K28" s="200" t="s">
        <v>47</v>
      </c>
      <c r="L28" s="187"/>
      <c r="M28" s="94"/>
      <c r="N28" s="81"/>
      <c r="O28" s="218"/>
      <c r="P28" s="218"/>
      <c r="Q28" s="100"/>
      <c r="R28" s="82"/>
      <c r="S28" s="94"/>
      <c r="T28" s="83"/>
      <c r="U28" s="94"/>
      <c r="V28" s="83"/>
      <c r="W28" s="115"/>
      <c r="X28" s="85"/>
    </row>
    <row r="29" spans="1:24" s="84" customFormat="1" ht="25.15" customHeight="1">
      <c r="A29" s="108"/>
      <c r="B29" s="152">
        <v>18</v>
      </c>
      <c r="C29" s="251"/>
      <c r="D29" s="95">
        <v>0</v>
      </c>
      <c r="E29" s="103">
        <v>495083</v>
      </c>
      <c r="F29" s="102" t="s">
        <v>73</v>
      </c>
      <c r="G29" s="211" t="s">
        <v>74</v>
      </c>
      <c r="H29" s="211"/>
      <c r="I29" s="211"/>
      <c r="J29" s="211"/>
      <c r="K29" s="104" t="s">
        <v>75</v>
      </c>
      <c r="L29" s="94" t="s">
        <v>76</v>
      </c>
      <c r="M29" s="94"/>
      <c r="N29" s="81"/>
      <c r="O29" s="94"/>
      <c r="P29" s="94"/>
      <c r="Q29" s="100"/>
      <c r="R29" s="82"/>
      <c r="S29" s="94"/>
      <c r="T29" s="83"/>
      <c r="U29" s="94"/>
      <c r="V29" s="83"/>
      <c r="W29" s="115"/>
      <c r="X29" s="85"/>
    </row>
    <row r="30" spans="1:24" s="84" customFormat="1" ht="25.15" customHeight="1">
      <c r="A30" s="108"/>
      <c r="B30" s="114">
        <v>19</v>
      </c>
      <c r="C30" s="251"/>
      <c r="D30" s="95">
        <v>0</v>
      </c>
      <c r="E30" s="78">
        <v>495106</v>
      </c>
      <c r="F30" s="99" t="s">
        <v>43</v>
      </c>
      <c r="G30" s="215" t="s">
        <v>77</v>
      </c>
      <c r="H30" s="215"/>
      <c r="I30" s="215"/>
      <c r="J30" s="215"/>
      <c r="K30" s="79" t="s">
        <v>43</v>
      </c>
      <c r="L30" s="94" t="s">
        <v>43</v>
      </c>
      <c r="M30" s="94"/>
      <c r="N30" s="81"/>
      <c r="O30" s="218"/>
      <c r="P30" s="218"/>
      <c r="Q30" s="94"/>
      <c r="R30" s="94"/>
      <c r="S30" s="94"/>
      <c r="T30" s="83"/>
      <c r="U30" s="94"/>
      <c r="V30" s="83"/>
      <c r="W30" s="115"/>
      <c r="X30" s="85"/>
    </row>
    <row r="31" spans="1:24" s="84" customFormat="1" ht="25.15" customHeight="1">
      <c r="A31" s="108"/>
      <c r="B31" s="114">
        <v>20</v>
      </c>
      <c r="C31" s="252"/>
      <c r="D31" s="203">
        <v>0</v>
      </c>
      <c r="E31" s="118">
        <v>495084</v>
      </c>
      <c r="F31" s="119" t="s">
        <v>43</v>
      </c>
      <c r="G31" s="257" t="s">
        <v>78</v>
      </c>
      <c r="H31" s="257"/>
      <c r="I31" s="257"/>
      <c r="J31" s="257"/>
      <c r="K31" s="80" t="s">
        <v>43</v>
      </c>
      <c r="L31" s="89" t="s">
        <v>43</v>
      </c>
      <c r="M31" s="89"/>
      <c r="N31" s="90"/>
      <c r="O31" s="258"/>
      <c r="P31" s="258"/>
      <c r="Q31" s="89"/>
      <c r="R31" s="89"/>
      <c r="S31" s="89"/>
      <c r="T31" s="92"/>
      <c r="U31" s="89"/>
      <c r="V31" s="92"/>
      <c r="W31" s="120"/>
      <c r="X31" s="85"/>
    </row>
    <row r="32" spans="1:24" s="84" customFormat="1" ht="25.15" customHeight="1">
      <c r="A32" s="108"/>
      <c r="B32" s="110">
        <v>21</v>
      </c>
      <c r="C32" s="249" t="s">
        <v>79</v>
      </c>
      <c r="D32" s="122">
        <v>0</v>
      </c>
      <c r="E32" s="111">
        <v>495097</v>
      </c>
      <c r="F32" s="121" t="s">
        <v>43</v>
      </c>
      <c r="G32" s="259" t="s">
        <v>80</v>
      </c>
      <c r="H32" s="259"/>
      <c r="I32" s="259"/>
      <c r="J32" s="259"/>
      <c r="K32" s="112" t="s">
        <v>43</v>
      </c>
      <c r="L32" s="93" t="s">
        <v>43</v>
      </c>
      <c r="M32" s="93"/>
      <c r="N32" s="86"/>
      <c r="O32" s="260"/>
      <c r="P32" s="260"/>
      <c r="Q32" s="93"/>
      <c r="R32" s="93"/>
      <c r="S32" s="93"/>
      <c r="T32" s="88"/>
      <c r="U32" s="93"/>
      <c r="V32" s="88"/>
      <c r="W32" s="113"/>
      <c r="X32" s="85"/>
    </row>
    <row r="33" spans="1:24" s="84" customFormat="1" ht="25.15" customHeight="1">
      <c r="A33" s="108"/>
      <c r="B33" s="152">
        <v>22</v>
      </c>
      <c r="C33" s="251"/>
      <c r="D33" s="95">
        <v>0</v>
      </c>
      <c r="E33" s="78">
        <v>495098</v>
      </c>
      <c r="F33" s="99" t="s">
        <v>43</v>
      </c>
      <c r="G33" s="215" t="s">
        <v>81</v>
      </c>
      <c r="H33" s="215"/>
      <c r="I33" s="215"/>
      <c r="J33" s="215"/>
      <c r="K33" s="79" t="s">
        <v>43</v>
      </c>
      <c r="L33" s="94" t="s">
        <v>43</v>
      </c>
      <c r="M33" s="94"/>
      <c r="N33" s="81"/>
      <c r="O33" s="218"/>
      <c r="P33" s="218"/>
      <c r="Q33" s="94"/>
      <c r="R33" s="94"/>
      <c r="S33" s="94"/>
      <c r="T33" s="83"/>
      <c r="U33" s="94"/>
      <c r="V33" s="83"/>
      <c r="W33" s="115"/>
      <c r="X33" s="85"/>
    </row>
    <row r="34" spans="1:24" s="84" customFormat="1" ht="25.15" customHeight="1">
      <c r="A34" s="108"/>
      <c r="B34" s="114">
        <v>23</v>
      </c>
      <c r="C34" s="251"/>
      <c r="D34" s="95">
        <v>0</v>
      </c>
      <c r="E34" s="78">
        <v>495099</v>
      </c>
      <c r="F34" s="99" t="s">
        <v>43</v>
      </c>
      <c r="G34" s="215" t="s">
        <v>82</v>
      </c>
      <c r="H34" s="215"/>
      <c r="I34" s="215"/>
      <c r="J34" s="215"/>
      <c r="K34" s="79" t="s">
        <v>43</v>
      </c>
      <c r="L34" s="94" t="s">
        <v>43</v>
      </c>
      <c r="M34" s="94"/>
      <c r="N34" s="81"/>
      <c r="O34" s="218"/>
      <c r="P34" s="218"/>
      <c r="Q34" s="94"/>
      <c r="R34" s="94"/>
      <c r="S34" s="94"/>
      <c r="T34" s="83"/>
      <c r="U34" s="94"/>
      <c r="V34" s="83"/>
      <c r="W34" s="115"/>
      <c r="X34" s="85"/>
    </row>
    <row r="35" spans="1:24" s="84" customFormat="1" ht="25.15" customHeight="1">
      <c r="A35" s="108"/>
      <c r="B35" s="114">
        <v>24</v>
      </c>
      <c r="C35" s="251"/>
      <c r="D35" s="95">
        <v>0</v>
      </c>
      <c r="E35" s="78">
        <v>495100</v>
      </c>
      <c r="F35" s="99" t="s">
        <v>43</v>
      </c>
      <c r="G35" s="215" t="s">
        <v>83</v>
      </c>
      <c r="H35" s="215"/>
      <c r="I35" s="215"/>
      <c r="J35" s="215"/>
      <c r="K35" s="79" t="s">
        <v>43</v>
      </c>
      <c r="L35" s="94" t="s">
        <v>43</v>
      </c>
      <c r="M35" s="94"/>
      <c r="N35" s="81"/>
      <c r="O35" s="218"/>
      <c r="P35" s="218"/>
      <c r="Q35" s="94"/>
      <c r="R35" s="94"/>
      <c r="S35" s="94"/>
      <c r="T35" s="83"/>
      <c r="U35" s="94"/>
      <c r="V35" s="83"/>
      <c r="W35" s="115"/>
      <c r="X35" s="85"/>
    </row>
    <row r="36" spans="1:24" s="84" customFormat="1" ht="25.15" customHeight="1">
      <c r="A36" s="108"/>
      <c r="B36" s="110">
        <v>25</v>
      </c>
      <c r="C36" s="251"/>
      <c r="D36" s="95">
        <v>0</v>
      </c>
      <c r="E36" s="78">
        <v>495101</v>
      </c>
      <c r="F36" s="99" t="s">
        <v>43</v>
      </c>
      <c r="G36" s="215" t="s">
        <v>84</v>
      </c>
      <c r="H36" s="215"/>
      <c r="I36" s="215"/>
      <c r="J36" s="215"/>
      <c r="K36" s="79" t="s">
        <v>43</v>
      </c>
      <c r="L36" s="94" t="s">
        <v>43</v>
      </c>
      <c r="M36" s="94"/>
      <c r="N36" s="81"/>
      <c r="O36" s="218"/>
      <c r="P36" s="218"/>
      <c r="Q36" s="94"/>
      <c r="R36" s="94"/>
      <c r="S36" s="94"/>
      <c r="T36" s="83"/>
      <c r="U36" s="94"/>
      <c r="V36" s="83"/>
      <c r="W36" s="115"/>
      <c r="X36" s="85"/>
    </row>
    <row r="37" spans="1:24" s="84" customFormat="1" ht="25.15" customHeight="1">
      <c r="A37" s="108"/>
      <c r="B37" s="152">
        <v>26</v>
      </c>
      <c r="C37" s="251"/>
      <c r="D37" s="95">
        <v>0</v>
      </c>
      <c r="E37" s="78">
        <v>495102</v>
      </c>
      <c r="F37" s="99" t="s">
        <v>43</v>
      </c>
      <c r="G37" s="215" t="s">
        <v>85</v>
      </c>
      <c r="H37" s="215"/>
      <c r="I37" s="215"/>
      <c r="J37" s="215"/>
      <c r="K37" s="79" t="s">
        <v>43</v>
      </c>
      <c r="L37" s="94" t="s">
        <v>43</v>
      </c>
      <c r="M37" s="94"/>
      <c r="N37" s="81"/>
      <c r="O37" s="218"/>
      <c r="P37" s="218"/>
      <c r="Q37" s="94"/>
      <c r="R37" s="98"/>
      <c r="S37" s="94"/>
      <c r="T37" s="83"/>
      <c r="U37" s="94"/>
      <c r="V37" s="83"/>
      <c r="W37" s="115"/>
      <c r="X37" s="85"/>
    </row>
    <row r="38" spans="1:24" s="84" customFormat="1" ht="25.15" customHeight="1">
      <c r="A38" s="108"/>
      <c r="B38" s="114">
        <v>27</v>
      </c>
      <c r="C38" s="251"/>
      <c r="D38" s="95">
        <v>1</v>
      </c>
      <c r="E38" s="78">
        <v>495103</v>
      </c>
      <c r="F38" s="99" t="s">
        <v>86</v>
      </c>
      <c r="G38" s="215" t="s">
        <v>87</v>
      </c>
      <c r="H38" s="215"/>
      <c r="I38" s="215"/>
      <c r="J38" s="215"/>
      <c r="K38" s="79" t="s">
        <v>47</v>
      </c>
      <c r="L38" s="94" t="s">
        <v>42</v>
      </c>
      <c r="M38" s="94"/>
      <c r="N38" s="81"/>
      <c r="O38" s="218"/>
      <c r="P38" s="218"/>
      <c r="Q38" s="94"/>
      <c r="R38" s="94"/>
      <c r="S38" s="94"/>
      <c r="T38" s="83"/>
      <c r="U38" s="94"/>
      <c r="V38" s="83"/>
      <c r="W38" s="115"/>
      <c r="X38" s="85"/>
    </row>
    <row r="39" spans="1:24" s="84" customFormat="1" ht="25.15" customHeight="1">
      <c r="A39" s="108"/>
      <c r="B39" s="114">
        <v>28</v>
      </c>
      <c r="C39" s="251"/>
      <c r="D39" s="95">
        <v>1</v>
      </c>
      <c r="E39" s="78">
        <v>495104</v>
      </c>
      <c r="F39" s="99" t="s">
        <v>88</v>
      </c>
      <c r="G39" s="215" t="s">
        <v>89</v>
      </c>
      <c r="H39" s="215"/>
      <c r="I39" s="215"/>
      <c r="J39" s="215"/>
      <c r="K39" s="79" t="s">
        <v>47</v>
      </c>
      <c r="L39" s="133" t="s">
        <v>42</v>
      </c>
      <c r="M39" s="94"/>
      <c r="N39" s="81"/>
      <c r="O39" s="218"/>
      <c r="P39" s="218"/>
      <c r="Q39" s="94"/>
      <c r="R39" s="94"/>
      <c r="S39" s="94"/>
      <c r="T39" s="83"/>
      <c r="U39" s="94"/>
      <c r="V39" s="83"/>
      <c r="W39" s="115"/>
      <c r="X39" s="85"/>
    </row>
    <row r="40" spans="1:24" s="84" customFormat="1" ht="25.15" customHeight="1">
      <c r="A40" s="108"/>
      <c r="B40" s="110">
        <v>29</v>
      </c>
      <c r="C40" s="263"/>
      <c r="D40" s="147">
        <v>1</v>
      </c>
      <c r="E40" s="201">
        <v>495101</v>
      </c>
      <c r="F40" s="140" t="s">
        <v>90</v>
      </c>
      <c r="G40" s="215" t="s">
        <v>91</v>
      </c>
      <c r="H40" s="215"/>
      <c r="I40" s="215"/>
      <c r="J40" s="215"/>
      <c r="K40" s="141" t="s">
        <v>47</v>
      </c>
      <c r="L40" s="185"/>
      <c r="M40" s="139"/>
      <c r="N40" s="142"/>
      <c r="O40" s="139"/>
      <c r="P40" s="139"/>
      <c r="Q40" s="139"/>
      <c r="R40" s="139"/>
      <c r="S40" s="139"/>
      <c r="T40" s="143"/>
      <c r="U40" s="139"/>
      <c r="V40" s="143"/>
      <c r="W40" s="144"/>
      <c r="X40" s="85"/>
    </row>
    <row r="41" spans="1:24" s="84" customFormat="1" ht="25.15" customHeight="1">
      <c r="A41" s="108"/>
      <c r="B41" s="152">
        <v>30</v>
      </c>
      <c r="C41" s="263"/>
      <c r="D41" s="147">
        <v>1</v>
      </c>
      <c r="E41" s="201">
        <v>495102</v>
      </c>
      <c r="F41" s="140" t="s">
        <v>92</v>
      </c>
      <c r="G41" s="215" t="s">
        <v>93</v>
      </c>
      <c r="H41" s="215"/>
      <c r="I41" s="215"/>
      <c r="J41" s="215"/>
      <c r="K41" s="141" t="s">
        <v>47</v>
      </c>
      <c r="L41" s="185"/>
      <c r="M41" s="139"/>
      <c r="N41" s="142"/>
      <c r="O41" s="139"/>
      <c r="P41" s="139"/>
      <c r="Q41" s="139"/>
      <c r="R41" s="139"/>
      <c r="S41" s="139"/>
      <c r="T41" s="143"/>
      <c r="U41" s="139"/>
      <c r="V41" s="143"/>
      <c r="W41" s="144"/>
      <c r="X41" s="85"/>
    </row>
    <row r="42" spans="1:24" s="84" customFormat="1" ht="25.15" customHeight="1">
      <c r="A42" s="108"/>
      <c r="B42" s="114">
        <v>31</v>
      </c>
      <c r="C42" s="263"/>
      <c r="D42" s="147">
        <v>1</v>
      </c>
      <c r="E42" s="201">
        <v>495103</v>
      </c>
      <c r="F42" s="140" t="s">
        <v>94</v>
      </c>
      <c r="G42" s="215" t="s">
        <v>95</v>
      </c>
      <c r="H42" s="215"/>
      <c r="I42" s="215"/>
      <c r="J42" s="215"/>
      <c r="K42" s="141" t="s">
        <v>47</v>
      </c>
      <c r="L42" s="185"/>
      <c r="M42" s="139"/>
      <c r="N42" s="142"/>
      <c r="O42" s="139"/>
      <c r="P42" s="139"/>
      <c r="Q42" s="139"/>
      <c r="R42" s="139"/>
      <c r="S42" s="139"/>
      <c r="T42" s="143"/>
      <c r="U42" s="139"/>
      <c r="V42" s="143"/>
      <c r="W42" s="144"/>
      <c r="X42" s="85"/>
    </row>
    <row r="43" spans="1:24" s="84" customFormat="1" ht="25.15" customHeight="1">
      <c r="A43" s="108"/>
      <c r="B43" s="114">
        <v>32</v>
      </c>
      <c r="C43" s="263"/>
      <c r="D43" s="147">
        <v>1</v>
      </c>
      <c r="E43" s="201">
        <v>495104</v>
      </c>
      <c r="F43" s="140" t="s">
        <v>96</v>
      </c>
      <c r="G43" s="215" t="s">
        <v>97</v>
      </c>
      <c r="H43" s="215"/>
      <c r="I43" s="215"/>
      <c r="J43" s="215"/>
      <c r="K43" s="141" t="s">
        <v>47</v>
      </c>
      <c r="L43" s="185"/>
      <c r="M43" s="139"/>
      <c r="N43" s="142"/>
      <c r="O43" s="139"/>
      <c r="P43" s="139"/>
      <c r="Q43" s="139"/>
      <c r="R43" s="139"/>
      <c r="S43" s="139"/>
      <c r="T43" s="143"/>
      <c r="U43" s="139"/>
      <c r="V43" s="143"/>
      <c r="W43" s="144"/>
      <c r="X43" s="85"/>
    </row>
    <row r="44" spans="1:24" s="84" customFormat="1" ht="25.15" customHeight="1">
      <c r="A44" s="108"/>
      <c r="B44" s="110">
        <v>33</v>
      </c>
      <c r="C44" s="252"/>
      <c r="D44" s="203">
        <v>0</v>
      </c>
      <c r="E44" s="118">
        <v>495105</v>
      </c>
      <c r="F44" s="119" t="s">
        <v>43</v>
      </c>
      <c r="G44" s="257" t="s">
        <v>98</v>
      </c>
      <c r="H44" s="257"/>
      <c r="I44" s="257"/>
      <c r="J44" s="257"/>
      <c r="K44" s="80" t="s">
        <v>43</v>
      </c>
      <c r="L44" s="89" t="s">
        <v>43</v>
      </c>
      <c r="M44" s="89"/>
      <c r="N44" s="90"/>
      <c r="O44" s="258"/>
      <c r="P44" s="258"/>
      <c r="Q44" s="89"/>
      <c r="R44" s="89"/>
      <c r="S44" s="89"/>
      <c r="T44" s="92"/>
      <c r="U44" s="89"/>
      <c r="V44" s="92"/>
      <c r="W44" s="120"/>
      <c r="X44" s="85"/>
    </row>
    <row r="45" spans="1:24" s="84" customFormat="1" ht="25.15" customHeight="1">
      <c r="A45" s="108"/>
      <c r="B45" s="152">
        <v>34</v>
      </c>
      <c r="C45" s="249" t="s">
        <v>99</v>
      </c>
      <c r="D45" s="122">
        <v>0</v>
      </c>
      <c r="E45" s="123">
        <v>495085</v>
      </c>
      <c r="F45" s="124" t="s">
        <v>100</v>
      </c>
      <c r="G45" s="261" t="s">
        <v>101</v>
      </c>
      <c r="H45" s="261"/>
      <c r="I45" s="261"/>
      <c r="J45" s="261"/>
      <c r="K45" s="125" t="s">
        <v>65</v>
      </c>
      <c r="L45" s="186" t="s">
        <v>42</v>
      </c>
      <c r="M45" s="93"/>
      <c r="N45" s="86"/>
      <c r="O45" s="260"/>
      <c r="P45" s="260"/>
      <c r="Q45" s="126"/>
      <c r="R45" s="87"/>
      <c r="S45" s="93"/>
      <c r="T45" s="88"/>
      <c r="U45" s="93"/>
      <c r="V45" s="88"/>
      <c r="W45" s="113"/>
      <c r="X45" s="85"/>
    </row>
    <row r="46" spans="1:24" s="84" customFormat="1" ht="25.15" customHeight="1">
      <c r="A46" s="108"/>
      <c r="B46" s="114">
        <v>35</v>
      </c>
      <c r="C46" s="251"/>
      <c r="D46" s="95">
        <v>1</v>
      </c>
      <c r="E46" s="105">
        <v>495086</v>
      </c>
      <c r="F46" s="102" t="s">
        <v>102</v>
      </c>
      <c r="G46" s="262" t="s">
        <v>103</v>
      </c>
      <c r="H46" s="262"/>
      <c r="I46" s="262"/>
      <c r="J46" s="262"/>
      <c r="K46" s="104" t="s">
        <v>47</v>
      </c>
      <c r="L46" s="133"/>
      <c r="M46" s="94"/>
      <c r="N46" s="81"/>
      <c r="O46" s="218"/>
      <c r="P46" s="218"/>
      <c r="Q46" s="100"/>
      <c r="R46" s="82"/>
      <c r="S46" s="94"/>
      <c r="T46" s="83"/>
      <c r="U46" s="94"/>
      <c r="V46" s="83"/>
      <c r="W46" s="115"/>
      <c r="X46" s="85"/>
    </row>
    <row r="47" spans="1:24" s="84" customFormat="1" ht="25.15" customHeight="1">
      <c r="A47" s="108"/>
      <c r="B47" s="114">
        <v>36</v>
      </c>
      <c r="C47" s="251"/>
      <c r="D47" s="95">
        <v>1</v>
      </c>
      <c r="E47" s="105">
        <v>504920</v>
      </c>
      <c r="F47" s="102" t="s">
        <v>104</v>
      </c>
      <c r="G47" s="262" t="s">
        <v>103</v>
      </c>
      <c r="H47" s="262"/>
      <c r="I47" s="262"/>
      <c r="J47" s="262"/>
      <c r="K47" s="104" t="s">
        <v>47</v>
      </c>
      <c r="L47" s="133"/>
      <c r="M47" s="94"/>
      <c r="N47" s="81"/>
      <c r="O47" s="218"/>
      <c r="P47" s="218"/>
      <c r="Q47" s="100"/>
      <c r="R47" s="82"/>
      <c r="S47" s="94"/>
      <c r="T47" s="83"/>
      <c r="U47" s="94"/>
      <c r="V47" s="83"/>
      <c r="W47" s="116" t="s">
        <v>68</v>
      </c>
      <c r="X47" s="85"/>
    </row>
    <row r="48" spans="1:24" s="84" customFormat="1" ht="25.15" customHeight="1">
      <c r="A48" s="108"/>
      <c r="B48" s="110">
        <v>37</v>
      </c>
      <c r="C48" s="251"/>
      <c r="D48" s="95">
        <v>1</v>
      </c>
      <c r="E48" s="105">
        <v>505091</v>
      </c>
      <c r="F48" s="102" t="s">
        <v>105</v>
      </c>
      <c r="G48" s="262" t="s">
        <v>103</v>
      </c>
      <c r="H48" s="262"/>
      <c r="I48" s="262"/>
      <c r="J48" s="262"/>
      <c r="K48" s="104" t="s">
        <v>47</v>
      </c>
      <c r="L48" s="181"/>
      <c r="M48" s="94"/>
      <c r="N48" s="81"/>
      <c r="O48" s="218"/>
      <c r="P48" s="218"/>
      <c r="Q48" s="94"/>
      <c r="R48" s="94"/>
      <c r="S48" s="94"/>
      <c r="T48" s="83"/>
      <c r="U48" s="94"/>
      <c r="V48" s="83"/>
      <c r="W48" s="116" t="s">
        <v>68</v>
      </c>
      <c r="X48" s="85"/>
    </row>
    <row r="49" spans="1:24" s="84" customFormat="1" ht="31.5" customHeight="1">
      <c r="A49" s="108"/>
      <c r="B49" s="152">
        <v>38</v>
      </c>
      <c r="C49" s="251"/>
      <c r="D49" s="95">
        <v>0</v>
      </c>
      <c r="E49" s="102">
        <v>495088</v>
      </c>
      <c r="F49" s="102" t="s">
        <v>106</v>
      </c>
      <c r="G49" s="219" t="s">
        <v>107</v>
      </c>
      <c r="H49" s="219"/>
      <c r="I49" s="219"/>
      <c r="J49" s="219"/>
      <c r="K49" s="79" t="s">
        <v>47</v>
      </c>
      <c r="L49" s="94" t="s">
        <v>108</v>
      </c>
      <c r="M49" s="94"/>
      <c r="N49" s="94"/>
      <c r="O49" s="82"/>
      <c r="P49" s="94"/>
      <c r="Q49" s="100"/>
      <c r="R49" s="82"/>
      <c r="S49" s="94"/>
      <c r="T49" s="83"/>
      <c r="U49" s="94"/>
      <c r="V49" s="83"/>
      <c r="W49" s="116" t="s">
        <v>68</v>
      </c>
      <c r="X49" s="85"/>
    </row>
    <row r="50" spans="1:24" s="84" customFormat="1" ht="25.15" customHeight="1">
      <c r="A50" s="108"/>
      <c r="B50" s="114">
        <v>39</v>
      </c>
      <c r="C50" s="251"/>
      <c r="D50" s="95">
        <v>0</v>
      </c>
      <c r="E50" s="106">
        <v>497277</v>
      </c>
      <c r="F50" s="99" t="s">
        <v>43</v>
      </c>
      <c r="G50" s="264" t="s">
        <v>109</v>
      </c>
      <c r="H50" s="264"/>
      <c r="I50" s="264"/>
      <c r="J50" s="264"/>
      <c r="K50" s="79" t="s">
        <v>43</v>
      </c>
      <c r="L50" s="94" t="s">
        <v>43</v>
      </c>
      <c r="M50" s="94"/>
      <c r="N50" s="81"/>
      <c r="O50" s="218"/>
      <c r="P50" s="218"/>
      <c r="Q50" s="94"/>
      <c r="R50" s="94"/>
      <c r="S50" s="94"/>
      <c r="T50" s="83"/>
      <c r="U50" s="94"/>
      <c r="V50" s="83"/>
      <c r="W50" s="115"/>
      <c r="X50" s="85"/>
    </row>
    <row r="51" spans="1:24" s="84" customFormat="1" ht="25.15" customHeight="1">
      <c r="A51" s="108"/>
      <c r="B51" s="114">
        <v>40</v>
      </c>
      <c r="C51" s="251"/>
      <c r="D51" s="95">
        <v>0</v>
      </c>
      <c r="E51" s="106">
        <v>497278</v>
      </c>
      <c r="F51" s="99" t="s">
        <v>43</v>
      </c>
      <c r="G51" s="264" t="s">
        <v>110</v>
      </c>
      <c r="H51" s="264"/>
      <c r="I51" s="264"/>
      <c r="J51" s="264"/>
      <c r="K51" s="79" t="s">
        <v>43</v>
      </c>
      <c r="L51" s="94" t="s">
        <v>43</v>
      </c>
      <c r="M51" s="94"/>
      <c r="N51" s="81"/>
      <c r="O51" s="218"/>
      <c r="P51" s="218"/>
      <c r="Q51" s="94"/>
      <c r="R51" s="94"/>
      <c r="S51" s="94"/>
      <c r="T51" s="83"/>
      <c r="U51" s="94"/>
      <c r="V51" s="83"/>
      <c r="W51" s="115"/>
      <c r="X51" s="85"/>
    </row>
    <row r="52" spans="1:24" s="84" customFormat="1" ht="25.15" customHeight="1">
      <c r="A52" s="108"/>
      <c r="B52" s="110">
        <v>41</v>
      </c>
      <c r="C52" s="251"/>
      <c r="D52" s="95">
        <v>0</v>
      </c>
      <c r="E52" s="106">
        <v>496064</v>
      </c>
      <c r="F52" s="99" t="s">
        <v>111</v>
      </c>
      <c r="G52" s="264" t="s">
        <v>112</v>
      </c>
      <c r="H52" s="264"/>
      <c r="I52" s="264"/>
      <c r="J52" s="264"/>
      <c r="K52" s="79" t="s">
        <v>39</v>
      </c>
      <c r="L52" s="133" t="s">
        <v>108</v>
      </c>
      <c r="M52" s="94"/>
      <c r="N52" s="81"/>
      <c r="O52" s="218"/>
      <c r="P52" s="218"/>
      <c r="Q52" s="94"/>
      <c r="R52" s="94"/>
      <c r="S52" s="94"/>
      <c r="T52" s="83"/>
      <c r="U52" s="94"/>
      <c r="V52" s="83"/>
      <c r="W52" s="116" t="s">
        <v>68</v>
      </c>
      <c r="X52" s="85"/>
    </row>
    <row r="53" spans="1:24" s="84" customFormat="1" ht="25.15" customHeight="1">
      <c r="A53" s="108"/>
      <c r="B53" s="152">
        <v>42</v>
      </c>
      <c r="C53" s="251"/>
      <c r="D53" s="95">
        <v>0</v>
      </c>
      <c r="E53" s="106">
        <v>495093</v>
      </c>
      <c r="F53" s="99" t="s">
        <v>43</v>
      </c>
      <c r="G53" s="265" t="s">
        <v>113</v>
      </c>
      <c r="H53" s="265"/>
      <c r="I53" s="265"/>
      <c r="J53" s="265"/>
      <c r="K53" s="79" t="s">
        <v>43</v>
      </c>
      <c r="L53" s="94" t="s">
        <v>43</v>
      </c>
      <c r="M53" s="94"/>
      <c r="N53" s="81"/>
      <c r="O53" s="218"/>
      <c r="P53" s="218"/>
      <c r="Q53" s="94"/>
      <c r="R53" s="94"/>
      <c r="S53" s="94"/>
      <c r="T53" s="83"/>
      <c r="U53" s="94"/>
      <c r="V53" s="83"/>
      <c r="W53" s="116"/>
      <c r="X53" s="85"/>
    </row>
    <row r="54" spans="1:24" s="84" customFormat="1" ht="25.15" customHeight="1">
      <c r="A54" s="108"/>
      <c r="B54" s="114">
        <v>43</v>
      </c>
      <c r="C54" s="251"/>
      <c r="D54" s="95">
        <v>0</v>
      </c>
      <c r="E54" s="105">
        <v>495072</v>
      </c>
      <c r="F54" s="102" t="s">
        <v>43</v>
      </c>
      <c r="G54" s="262" t="s">
        <v>114</v>
      </c>
      <c r="H54" s="262"/>
      <c r="I54" s="262"/>
      <c r="J54" s="262"/>
      <c r="K54" s="79" t="s">
        <v>43</v>
      </c>
      <c r="L54" s="94" t="s">
        <v>43</v>
      </c>
      <c r="M54" s="94"/>
      <c r="N54" s="81"/>
      <c r="O54" s="218"/>
      <c r="P54" s="218"/>
      <c r="Q54" s="94"/>
      <c r="R54" s="94"/>
      <c r="S54" s="94"/>
      <c r="T54" s="83"/>
      <c r="U54" s="94"/>
      <c r="V54" s="83"/>
      <c r="W54" s="115"/>
      <c r="X54" s="85"/>
    </row>
    <row r="55" spans="1:24" s="84" customFormat="1" ht="25.15" customHeight="1">
      <c r="A55" s="108"/>
      <c r="B55" s="114">
        <v>44</v>
      </c>
      <c r="C55" s="251"/>
      <c r="D55" s="95">
        <v>0</v>
      </c>
      <c r="E55" s="105">
        <v>495073</v>
      </c>
      <c r="F55" s="102" t="s">
        <v>115</v>
      </c>
      <c r="G55" s="262" t="s">
        <v>116</v>
      </c>
      <c r="H55" s="262"/>
      <c r="I55" s="262"/>
      <c r="J55" s="262"/>
      <c r="K55" s="104" t="s">
        <v>47</v>
      </c>
      <c r="L55" s="94" t="s">
        <v>108</v>
      </c>
      <c r="M55" s="94"/>
      <c r="N55" s="81"/>
      <c r="O55" s="218"/>
      <c r="P55" s="218"/>
      <c r="Q55" s="100"/>
      <c r="R55" s="82"/>
      <c r="S55" s="94"/>
      <c r="T55" s="83"/>
      <c r="U55" s="94"/>
      <c r="V55" s="83"/>
      <c r="W55" s="116" t="s">
        <v>68</v>
      </c>
      <c r="X55" s="85"/>
    </row>
    <row r="56" spans="1:24" s="84" customFormat="1" ht="25.15" customHeight="1">
      <c r="A56" s="108"/>
      <c r="B56" s="110">
        <v>45</v>
      </c>
      <c r="C56" s="251"/>
      <c r="D56" s="95">
        <v>0</v>
      </c>
      <c r="E56" s="106">
        <v>495074</v>
      </c>
      <c r="F56" s="97" t="s">
        <v>117</v>
      </c>
      <c r="G56" s="264" t="s">
        <v>118</v>
      </c>
      <c r="H56" s="264"/>
      <c r="I56" s="264"/>
      <c r="J56" s="264"/>
      <c r="K56" s="79" t="s">
        <v>75</v>
      </c>
      <c r="L56" s="94" t="s">
        <v>108</v>
      </c>
      <c r="M56" s="94"/>
      <c r="N56" s="81"/>
      <c r="O56" s="218"/>
      <c r="P56" s="218"/>
      <c r="Q56" s="100"/>
      <c r="R56" s="82"/>
      <c r="S56" s="94"/>
      <c r="T56" s="83"/>
      <c r="U56" s="94"/>
      <c r="V56" s="83"/>
      <c r="W56" s="116" t="s">
        <v>68</v>
      </c>
      <c r="X56" s="85"/>
    </row>
    <row r="57" spans="1:24" s="84" customFormat="1" ht="25.15" customHeight="1">
      <c r="A57" s="108"/>
      <c r="B57" s="152">
        <v>46</v>
      </c>
      <c r="C57" s="252"/>
      <c r="D57" s="203">
        <v>0</v>
      </c>
      <c r="E57" s="127">
        <v>520659</v>
      </c>
      <c r="F57" s="119" t="s">
        <v>119</v>
      </c>
      <c r="G57" s="266" t="s">
        <v>120</v>
      </c>
      <c r="H57" s="266"/>
      <c r="I57" s="266"/>
      <c r="J57" s="266"/>
      <c r="K57" s="80" t="s">
        <v>39</v>
      </c>
      <c r="L57" s="184" t="s">
        <v>42</v>
      </c>
      <c r="M57" s="89"/>
      <c r="N57" s="90"/>
      <c r="O57" s="258"/>
      <c r="P57" s="258"/>
      <c r="Q57" s="89"/>
      <c r="R57" s="89"/>
      <c r="S57" s="89"/>
      <c r="T57" s="92"/>
      <c r="U57" s="89"/>
      <c r="V57" s="92"/>
      <c r="W57" s="120"/>
      <c r="X57" s="85"/>
    </row>
    <row r="58" spans="1:24" s="84" customFormat="1" ht="25.15" customHeight="1">
      <c r="A58" s="108"/>
      <c r="B58" s="114">
        <v>47</v>
      </c>
      <c r="C58" s="249" t="s">
        <v>121</v>
      </c>
      <c r="D58" s="122">
        <v>0</v>
      </c>
      <c r="E58" s="111">
        <v>495070</v>
      </c>
      <c r="F58" s="121" t="s">
        <v>122</v>
      </c>
      <c r="G58" s="259" t="s">
        <v>123</v>
      </c>
      <c r="H58" s="259"/>
      <c r="I58" s="259"/>
      <c r="J58" s="259"/>
      <c r="K58" s="112" t="s">
        <v>39</v>
      </c>
      <c r="L58" s="93" t="s">
        <v>42</v>
      </c>
      <c r="M58" s="93"/>
      <c r="N58" s="86"/>
      <c r="O58" s="260"/>
      <c r="P58" s="260"/>
      <c r="Q58" s="93"/>
      <c r="R58" s="93"/>
      <c r="S58" s="93"/>
      <c r="T58" s="88"/>
      <c r="U58" s="93"/>
      <c r="V58" s="88"/>
      <c r="W58" s="113"/>
      <c r="X58" s="85"/>
    </row>
    <row r="59" spans="1:24" s="84" customFormat="1" ht="25.15" customHeight="1">
      <c r="A59" s="108"/>
      <c r="B59" s="114">
        <v>48</v>
      </c>
      <c r="C59" s="251"/>
      <c r="D59" s="95">
        <v>0</v>
      </c>
      <c r="E59" s="78">
        <v>495622</v>
      </c>
      <c r="F59" s="99" t="s">
        <v>124</v>
      </c>
      <c r="G59" s="215" t="s">
        <v>125</v>
      </c>
      <c r="H59" s="215"/>
      <c r="I59" s="215"/>
      <c r="J59" s="215"/>
      <c r="K59" s="79" t="s">
        <v>39</v>
      </c>
      <c r="L59" s="133" t="s">
        <v>42</v>
      </c>
      <c r="M59" s="94"/>
      <c r="N59" s="81"/>
      <c r="O59" s="218"/>
      <c r="P59" s="218"/>
      <c r="Q59" s="94"/>
      <c r="R59" s="94"/>
      <c r="S59" s="94"/>
      <c r="T59" s="83"/>
      <c r="U59" s="94"/>
      <c r="V59" s="83"/>
      <c r="W59" s="115"/>
      <c r="X59" s="85"/>
    </row>
    <row r="60" spans="1:24" s="84" customFormat="1" ht="25.15" customHeight="1">
      <c r="A60" s="108"/>
      <c r="B60" s="110">
        <v>49</v>
      </c>
      <c r="C60" s="251"/>
      <c r="D60" s="95">
        <v>0</v>
      </c>
      <c r="E60" s="78">
        <v>495071</v>
      </c>
      <c r="F60" s="99" t="s">
        <v>43</v>
      </c>
      <c r="G60" s="255" t="s">
        <v>126</v>
      </c>
      <c r="H60" s="255"/>
      <c r="I60" s="255"/>
      <c r="J60" s="255"/>
      <c r="K60" s="99" t="s">
        <v>43</v>
      </c>
      <c r="L60" s="94" t="s">
        <v>43</v>
      </c>
      <c r="M60" s="94"/>
      <c r="N60" s="81"/>
      <c r="O60" s="218"/>
      <c r="P60" s="218"/>
      <c r="Q60" s="94"/>
      <c r="R60" s="94"/>
      <c r="S60" s="94"/>
      <c r="T60" s="83"/>
      <c r="U60" s="94"/>
      <c r="V60" s="83"/>
      <c r="W60" s="115"/>
      <c r="X60" s="85"/>
    </row>
    <row r="61" spans="1:24" s="84" customFormat="1" ht="25.15" customHeight="1">
      <c r="A61" s="108"/>
      <c r="B61" s="152">
        <v>50</v>
      </c>
      <c r="C61" s="251"/>
      <c r="D61" s="95">
        <v>0</v>
      </c>
      <c r="E61" s="78">
        <v>495617</v>
      </c>
      <c r="F61" s="99" t="s">
        <v>127</v>
      </c>
      <c r="G61" s="215" t="s">
        <v>128</v>
      </c>
      <c r="H61" s="215"/>
      <c r="I61" s="215"/>
      <c r="J61" s="215"/>
      <c r="K61" s="79" t="s">
        <v>39</v>
      </c>
      <c r="L61" s="133" t="s">
        <v>42</v>
      </c>
      <c r="M61" s="94"/>
      <c r="N61" s="81"/>
      <c r="O61" s="218"/>
      <c r="P61" s="218"/>
      <c r="Q61" s="94"/>
      <c r="R61" s="94"/>
      <c r="S61" s="94"/>
      <c r="T61" s="83"/>
      <c r="U61" s="94"/>
      <c r="V61" s="83"/>
      <c r="W61" s="115"/>
      <c r="X61" s="85"/>
    </row>
    <row r="62" spans="1:24" s="84" customFormat="1" ht="25.15" customHeight="1">
      <c r="A62" s="108"/>
      <c r="B62" s="114">
        <v>51</v>
      </c>
      <c r="C62" s="251"/>
      <c r="D62" s="95">
        <v>0</v>
      </c>
      <c r="E62" s="78">
        <v>495619</v>
      </c>
      <c r="F62" s="99" t="s">
        <v>43</v>
      </c>
      <c r="G62" s="255" t="s">
        <v>129</v>
      </c>
      <c r="H62" s="255"/>
      <c r="I62" s="255"/>
      <c r="J62" s="255"/>
      <c r="K62" s="99" t="s">
        <v>43</v>
      </c>
      <c r="L62" s="94" t="s">
        <v>43</v>
      </c>
      <c r="M62" s="100"/>
      <c r="N62" s="81"/>
      <c r="O62" s="218"/>
      <c r="P62" s="218"/>
      <c r="Q62" s="94"/>
      <c r="R62" s="94"/>
      <c r="S62" s="94"/>
      <c r="T62" s="83"/>
      <c r="U62" s="94"/>
      <c r="V62" s="83"/>
      <c r="W62" s="115"/>
      <c r="X62" s="85"/>
    </row>
    <row r="63" spans="1:24" s="84" customFormat="1" ht="25.15" customHeight="1">
      <c r="A63" s="108"/>
      <c r="B63" s="114">
        <v>52</v>
      </c>
      <c r="C63" s="251"/>
      <c r="D63" s="95">
        <v>0</v>
      </c>
      <c r="E63" s="103">
        <v>496062</v>
      </c>
      <c r="F63" s="102" t="s">
        <v>130</v>
      </c>
      <c r="G63" s="211" t="s">
        <v>131</v>
      </c>
      <c r="H63" s="211"/>
      <c r="I63" s="211"/>
      <c r="J63" s="211"/>
      <c r="K63" s="104" t="s">
        <v>39</v>
      </c>
      <c r="L63" s="94" t="s">
        <v>42</v>
      </c>
      <c r="M63" s="100"/>
      <c r="N63" s="81"/>
      <c r="O63" s="218"/>
      <c r="P63" s="218"/>
      <c r="Q63" s="94"/>
      <c r="R63" s="94"/>
      <c r="S63" s="94"/>
      <c r="T63" s="83"/>
      <c r="U63" s="94"/>
      <c r="V63" s="83"/>
      <c r="W63" s="115"/>
      <c r="X63" s="85"/>
    </row>
    <row r="64" spans="1:24" s="84" customFormat="1" ht="25.15" customHeight="1">
      <c r="A64" s="108"/>
      <c r="B64" s="110">
        <v>53</v>
      </c>
      <c r="C64" s="263"/>
      <c r="D64" s="147">
        <v>0</v>
      </c>
      <c r="E64" s="148">
        <v>501130</v>
      </c>
      <c r="F64" s="149" t="s">
        <v>132</v>
      </c>
      <c r="G64" s="285" t="s">
        <v>133</v>
      </c>
      <c r="H64" s="286"/>
      <c r="I64" s="286"/>
      <c r="J64" s="287"/>
      <c r="K64" s="150" t="s">
        <v>39</v>
      </c>
      <c r="L64" s="139" t="s">
        <v>42</v>
      </c>
      <c r="M64" s="151"/>
      <c r="N64" s="142"/>
      <c r="O64" s="139"/>
      <c r="P64" s="139"/>
      <c r="Q64" s="139"/>
      <c r="R64" s="139"/>
      <c r="S64" s="139"/>
      <c r="T64" s="143"/>
      <c r="U64" s="139"/>
      <c r="V64" s="143"/>
      <c r="W64" s="144"/>
      <c r="X64" s="85"/>
    </row>
    <row r="65" spans="1:24" s="84" customFormat="1" ht="25.15" customHeight="1">
      <c r="A65" s="108"/>
      <c r="B65" s="152">
        <v>54</v>
      </c>
      <c r="C65" s="263"/>
      <c r="D65" s="147">
        <v>0</v>
      </c>
      <c r="E65" s="148">
        <v>495075</v>
      </c>
      <c r="F65" s="149" t="s">
        <v>134</v>
      </c>
      <c r="G65" s="285" t="s">
        <v>135</v>
      </c>
      <c r="H65" s="286"/>
      <c r="I65" s="286"/>
      <c r="J65" s="287"/>
      <c r="K65" s="150" t="s">
        <v>39</v>
      </c>
      <c r="L65" s="139" t="s">
        <v>42</v>
      </c>
      <c r="M65" s="151"/>
      <c r="N65" s="142"/>
      <c r="O65" s="139"/>
      <c r="P65" s="139"/>
      <c r="Q65" s="139"/>
      <c r="R65" s="139"/>
      <c r="S65" s="139"/>
      <c r="T65" s="143"/>
      <c r="U65" s="139"/>
      <c r="V65" s="143"/>
      <c r="W65" s="144"/>
      <c r="X65" s="85"/>
    </row>
    <row r="66" spans="1:24" s="84" customFormat="1" ht="25.15" customHeight="1">
      <c r="A66" s="108"/>
      <c r="B66" s="114">
        <v>55</v>
      </c>
      <c r="C66" s="252"/>
      <c r="D66" s="203">
        <v>0</v>
      </c>
      <c r="E66" s="118">
        <v>495623</v>
      </c>
      <c r="F66" s="119" t="s">
        <v>136</v>
      </c>
      <c r="G66" s="217" t="s">
        <v>137</v>
      </c>
      <c r="H66" s="217"/>
      <c r="I66" s="217"/>
      <c r="J66" s="217"/>
      <c r="K66" s="119" t="s">
        <v>65</v>
      </c>
      <c r="L66" s="183" t="s">
        <v>138</v>
      </c>
      <c r="M66" s="128"/>
      <c r="N66" s="90"/>
      <c r="O66" s="258"/>
      <c r="P66" s="258"/>
      <c r="Q66" s="89"/>
      <c r="R66" s="91"/>
      <c r="S66" s="89"/>
      <c r="T66" s="92"/>
      <c r="U66" s="89"/>
      <c r="V66" s="92"/>
      <c r="W66" s="120"/>
      <c r="X66" s="85"/>
    </row>
    <row r="67" spans="1:24" s="84" customFormat="1" ht="25.15" customHeight="1">
      <c r="A67" s="108"/>
      <c r="B67" s="114">
        <v>56</v>
      </c>
      <c r="C67" s="249" t="s">
        <v>139</v>
      </c>
      <c r="D67" s="122">
        <v>1</v>
      </c>
      <c r="E67" s="111">
        <v>507185</v>
      </c>
      <c r="F67" s="121" t="s">
        <v>140</v>
      </c>
      <c r="G67" s="267" t="s">
        <v>141</v>
      </c>
      <c r="H67" s="267"/>
      <c r="I67" s="267"/>
      <c r="J67" s="267"/>
      <c r="K67" s="121" t="s">
        <v>142</v>
      </c>
      <c r="L67" s="126" t="s">
        <v>42</v>
      </c>
      <c r="M67" s="126"/>
      <c r="N67" s="86"/>
      <c r="O67" s="260"/>
      <c r="P67" s="260"/>
      <c r="Q67" s="193">
        <v>326276457</v>
      </c>
      <c r="R67" s="82">
        <v>46327</v>
      </c>
      <c r="S67" s="94"/>
      <c r="T67" s="83"/>
      <c r="U67" s="94" t="s">
        <v>143</v>
      </c>
      <c r="V67" s="83" t="s">
        <v>3</v>
      </c>
      <c r="W67" s="113"/>
      <c r="X67" s="85"/>
    </row>
    <row r="68" spans="1:24" s="84" customFormat="1" ht="25.15" customHeight="1">
      <c r="A68" s="108"/>
      <c r="B68" s="110">
        <v>57</v>
      </c>
      <c r="C68" s="251"/>
      <c r="D68" s="95">
        <v>0</v>
      </c>
      <c r="E68" s="78">
        <v>651722</v>
      </c>
      <c r="F68" s="99" t="s">
        <v>144</v>
      </c>
      <c r="G68" s="255" t="s">
        <v>145</v>
      </c>
      <c r="H68" s="255"/>
      <c r="I68" s="255"/>
      <c r="J68" s="255"/>
      <c r="K68" s="99" t="s">
        <v>142</v>
      </c>
      <c r="L68" s="100" t="s">
        <v>42</v>
      </c>
      <c r="M68" s="100"/>
      <c r="N68" s="81"/>
      <c r="O68" s="218"/>
      <c r="P68" s="218"/>
      <c r="Q68" s="94"/>
      <c r="R68" s="98"/>
      <c r="S68" s="94"/>
      <c r="T68" s="83"/>
      <c r="U68" s="94"/>
      <c r="V68" s="83"/>
      <c r="W68" s="115"/>
      <c r="X68" s="85"/>
    </row>
    <row r="69" spans="1:24" s="84" customFormat="1" ht="25.15" customHeight="1">
      <c r="A69" s="108"/>
      <c r="B69" s="152">
        <v>58</v>
      </c>
      <c r="C69" s="251"/>
      <c r="D69" s="95">
        <v>0</v>
      </c>
      <c r="E69" s="78" t="s">
        <v>43</v>
      </c>
      <c r="F69" s="99" t="s">
        <v>43</v>
      </c>
      <c r="G69" s="215" t="s">
        <v>146</v>
      </c>
      <c r="H69" s="215"/>
      <c r="I69" s="215"/>
      <c r="J69" s="215"/>
      <c r="K69" s="99" t="s">
        <v>142</v>
      </c>
      <c r="L69" s="100" t="s">
        <v>42</v>
      </c>
      <c r="M69" s="100"/>
      <c r="N69" s="81"/>
      <c r="O69" s="218"/>
      <c r="P69" s="218"/>
      <c r="Q69" s="94"/>
      <c r="R69" s="82"/>
      <c r="S69" s="94"/>
      <c r="T69" s="83"/>
      <c r="U69" s="94"/>
      <c r="V69" s="83"/>
      <c r="W69" s="115"/>
      <c r="X69" s="85"/>
    </row>
    <row r="70" spans="1:24" s="84" customFormat="1" ht="25.15" customHeight="1">
      <c r="A70" s="108"/>
      <c r="B70" s="114">
        <v>59</v>
      </c>
      <c r="C70" s="251"/>
      <c r="D70" s="95">
        <v>0</v>
      </c>
      <c r="E70" s="78">
        <v>495022</v>
      </c>
      <c r="F70" s="99" t="s">
        <v>147</v>
      </c>
      <c r="G70" s="255" t="s">
        <v>148</v>
      </c>
      <c r="H70" s="255"/>
      <c r="I70" s="255"/>
      <c r="J70" s="255"/>
      <c r="K70" s="99" t="s">
        <v>39</v>
      </c>
      <c r="L70" s="133" t="s">
        <v>42</v>
      </c>
      <c r="M70" s="94"/>
      <c r="N70" s="81"/>
      <c r="O70" s="218"/>
      <c r="P70" s="218"/>
      <c r="Q70" s="94"/>
      <c r="R70" s="82"/>
      <c r="S70" s="83"/>
      <c r="T70" s="83"/>
      <c r="U70" s="94"/>
      <c r="V70" s="83"/>
      <c r="W70" s="115"/>
      <c r="X70" s="85"/>
    </row>
    <row r="71" spans="1:24" s="84" customFormat="1" ht="25.15" customHeight="1">
      <c r="A71" s="108"/>
      <c r="B71" s="114">
        <v>60</v>
      </c>
      <c r="C71" s="251"/>
      <c r="D71" s="95">
        <v>0</v>
      </c>
      <c r="E71" s="78">
        <v>495023</v>
      </c>
      <c r="F71" s="99" t="s">
        <v>149</v>
      </c>
      <c r="G71" s="215" t="s">
        <v>150</v>
      </c>
      <c r="H71" s="215"/>
      <c r="I71" s="215"/>
      <c r="J71" s="215"/>
      <c r="K71" s="99" t="s">
        <v>39</v>
      </c>
      <c r="L71" s="133" t="s">
        <v>42</v>
      </c>
      <c r="M71" s="94"/>
      <c r="N71" s="81"/>
      <c r="O71" s="218"/>
      <c r="P71" s="218"/>
      <c r="Q71" s="94"/>
      <c r="R71" s="82"/>
      <c r="S71" s="83"/>
      <c r="T71" s="83"/>
      <c r="U71" s="94"/>
      <c r="V71" s="83"/>
      <c r="W71" s="115"/>
      <c r="X71" s="85"/>
    </row>
    <row r="72" spans="1:24" s="84" customFormat="1" ht="25.15" customHeight="1">
      <c r="A72" s="108"/>
      <c r="B72" s="110">
        <v>61</v>
      </c>
      <c r="C72" s="251"/>
      <c r="D72" s="95">
        <v>0</v>
      </c>
      <c r="E72" s="78" t="s">
        <v>43</v>
      </c>
      <c r="F72" s="99" t="s">
        <v>43</v>
      </c>
      <c r="G72" s="215" t="s">
        <v>146</v>
      </c>
      <c r="H72" s="215"/>
      <c r="I72" s="215"/>
      <c r="J72" s="215"/>
      <c r="K72" s="99" t="s">
        <v>39</v>
      </c>
      <c r="L72" s="94" t="s">
        <v>42</v>
      </c>
      <c r="M72" s="94"/>
      <c r="N72" s="81"/>
      <c r="O72" s="218"/>
      <c r="P72" s="218"/>
      <c r="Q72" s="94"/>
      <c r="R72" s="82"/>
      <c r="S72" s="83"/>
      <c r="T72" s="83"/>
      <c r="U72" s="94"/>
      <c r="V72" s="83"/>
      <c r="W72" s="115"/>
      <c r="X72" s="85"/>
    </row>
    <row r="73" spans="1:24" s="84" customFormat="1" ht="25.15" customHeight="1">
      <c r="A73" s="108"/>
      <c r="B73" s="152">
        <v>62</v>
      </c>
      <c r="C73" s="251"/>
      <c r="D73" s="95">
        <v>1</v>
      </c>
      <c r="E73" s="78">
        <v>495031</v>
      </c>
      <c r="F73" s="99" t="s">
        <v>151</v>
      </c>
      <c r="G73" s="255" t="s">
        <v>152</v>
      </c>
      <c r="H73" s="255"/>
      <c r="I73" s="255"/>
      <c r="J73" s="255"/>
      <c r="K73" s="79" t="s">
        <v>142</v>
      </c>
      <c r="L73" s="94" t="s">
        <v>42</v>
      </c>
      <c r="M73" s="100"/>
      <c r="N73" s="81"/>
      <c r="O73" s="218"/>
      <c r="P73" s="218"/>
      <c r="Q73" s="193">
        <v>326276459</v>
      </c>
      <c r="R73" s="82">
        <v>46327</v>
      </c>
      <c r="S73" s="94"/>
      <c r="T73" s="83"/>
      <c r="U73" s="94" t="s">
        <v>143</v>
      </c>
      <c r="V73" s="83" t="s">
        <v>3</v>
      </c>
      <c r="W73" s="115"/>
      <c r="X73" s="85"/>
    </row>
    <row r="74" spans="1:24" s="84" customFormat="1" ht="25.15" customHeight="1">
      <c r="A74" s="108"/>
      <c r="B74" s="114">
        <v>63</v>
      </c>
      <c r="C74" s="251"/>
      <c r="D74" s="95">
        <v>0</v>
      </c>
      <c r="E74" s="78">
        <v>32216</v>
      </c>
      <c r="F74" s="99" t="s">
        <v>153</v>
      </c>
      <c r="G74" s="215" t="s">
        <v>154</v>
      </c>
      <c r="H74" s="215"/>
      <c r="I74" s="215"/>
      <c r="J74" s="215"/>
      <c r="K74" s="79" t="s">
        <v>142</v>
      </c>
      <c r="L74" s="94" t="s">
        <v>42</v>
      </c>
      <c r="M74" s="94"/>
      <c r="N74" s="81"/>
      <c r="O74" s="218"/>
      <c r="P74" s="218"/>
      <c r="Q74" s="94"/>
      <c r="R74" s="94"/>
      <c r="S74" s="83"/>
      <c r="T74" s="83"/>
      <c r="U74" s="94"/>
      <c r="V74" s="83"/>
      <c r="W74" s="115"/>
      <c r="X74" s="85"/>
    </row>
    <row r="75" spans="1:24" s="84" customFormat="1" ht="25.15" customHeight="1">
      <c r="A75" s="108"/>
      <c r="B75" s="114">
        <v>64</v>
      </c>
      <c r="C75" s="251"/>
      <c r="D75" s="95">
        <v>0</v>
      </c>
      <c r="E75" s="78">
        <v>495031</v>
      </c>
      <c r="F75" s="99" t="s">
        <v>43</v>
      </c>
      <c r="G75" s="255" t="s">
        <v>152</v>
      </c>
      <c r="H75" s="255"/>
      <c r="I75" s="255"/>
      <c r="J75" s="255"/>
      <c r="K75" s="79" t="s">
        <v>43</v>
      </c>
      <c r="L75" s="94" t="s">
        <v>43</v>
      </c>
      <c r="M75" s="94"/>
      <c r="N75" s="81"/>
      <c r="O75" s="218"/>
      <c r="P75" s="218"/>
      <c r="Q75" s="94"/>
      <c r="R75" s="94"/>
      <c r="S75" s="94"/>
      <c r="T75" s="83"/>
      <c r="U75" s="94"/>
      <c r="V75" s="83"/>
      <c r="W75" s="115"/>
      <c r="X75" s="85"/>
    </row>
    <row r="76" spans="1:24" s="84" customFormat="1" ht="25.15" customHeight="1">
      <c r="A76" s="108"/>
      <c r="B76" s="110">
        <v>65</v>
      </c>
      <c r="C76" s="251"/>
      <c r="D76" s="95">
        <v>0</v>
      </c>
      <c r="E76" s="78">
        <v>495032</v>
      </c>
      <c r="F76" s="99" t="s">
        <v>43</v>
      </c>
      <c r="G76" s="215" t="s">
        <v>154</v>
      </c>
      <c r="H76" s="215"/>
      <c r="I76" s="215"/>
      <c r="J76" s="215"/>
      <c r="K76" s="79" t="s">
        <v>43</v>
      </c>
      <c r="L76" s="94" t="s">
        <v>43</v>
      </c>
      <c r="M76" s="94"/>
      <c r="N76" s="81"/>
      <c r="O76" s="218"/>
      <c r="P76" s="218"/>
      <c r="Q76" s="94"/>
      <c r="R76" s="94"/>
      <c r="S76" s="94"/>
      <c r="T76" s="83"/>
      <c r="U76" s="94"/>
      <c r="V76" s="83"/>
      <c r="W76" s="115"/>
      <c r="X76" s="129"/>
    </row>
    <row r="77" spans="1:24" s="84" customFormat="1" ht="25.15" customHeight="1">
      <c r="A77" s="108"/>
      <c r="B77" s="152">
        <v>66</v>
      </c>
      <c r="C77" s="251"/>
      <c r="D77" s="95">
        <v>0</v>
      </c>
      <c r="E77" s="78">
        <v>495035</v>
      </c>
      <c r="F77" s="99" t="s">
        <v>43</v>
      </c>
      <c r="G77" s="215" t="s">
        <v>155</v>
      </c>
      <c r="H77" s="215"/>
      <c r="I77" s="215"/>
      <c r="J77" s="215"/>
      <c r="K77" s="79" t="s">
        <v>43</v>
      </c>
      <c r="L77" s="94" t="s">
        <v>43</v>
      </c>
      <c r="M77" s="94"/>
      <c r="N77" s="81"/>
      <c r="O77" s="218"/>
      <c r="P77" s="218"/>
      <c r="Q77" s="94"/>
      <c r="R77" s="94"/>
      <c r="S77" s="94"/>
      <c r="T77" s="83"/>
      <c r="U77" s="94"/>
      <c r="V77" s="83"/>
      <c r="W77" s="115"/>
      <c r="X77" s="85"/>
    </row>
    <row r="78" spans="1:24" s="84" customFormat="1" ht="25.15" customHeight="1">
      <c r="A78" s="108"/>
      <c r="B78" s="114">
        <v>67</v>
      </c>
      <c r="C78" s="251"/>
      <c r="D78" s="95">
        <v>0</v>
      </c>
      <c r="E78" s="78">
        <v>495041</v>
      </c>
      <c r="F78" s="99" t="s">
        <v>43</v>
      </c>
      <c r="G78" s="255" t="s">
        <v>156</v>
      </c>
      <c r="H78" s="255"/>
      <c r="I78" s="255"/>
      <c r="J78" s="255"/>
      <c r="K78" s="79" t="s">
        <v>43</v>
      </c>
      <c r="L78" s="94" t="s">
        <v>43</v>
      </c>
      <c r="M78" s="94"/>
      <c r="N78" s="81"/>
      <c r="O78" s="218"/>
      <c r="P78" s="218"/>
      <c r="Q78" s="94"/>
      <c r="R78" s="94"/>
      <c r="S78" s="94"/>
      <c r="T78" s="83"/>
      <c r="U78" s="94"/>
      <c r="V78" s="83"/>
      <c r="W78" s="115"/>
      <c r="X78" s="85"/>
    </row>
    <row r="79" spans="1:24" s="84" customFormat="1" ht="25.15" customHeight="1">
      <c r="A79" s="108"/>
      <c r="B79" s="114">
        <v>68</v>
      </c>
      <c r="C79" s="252"/>
      <c r="D79" s="203">
        <v>0</v>
      </c>
      <c r="E79" s="118">
        <v>495042</v>
      </c>
      <c r="F79" s="119" t="s">
        <v>43</v>
      </c>
      <c r="G79" s="217" t="s">
        <v>157</v>
      </c>
      <c r="H79" s="217"/>
      <c r="I79" s="217"/>
      <c r="J79" s="217"/>
      <c r="K79" s="80" t="s">
        <v>43</v>
      </c>
      <c r="L79" s="89" t="s">
        <v>43</v>
      </c>
      <c r="M79" s="89"/>
      <c r="N79" s="90"/>
      <c r="O79" s="258"/>
      <c r="P79" s="258"/>
      <c r="Q79" s="89"/>
      <c r="R79" s="89"/>
      <c r="S79" s="89"/>
      <c r="T79" s="92"/>
      <c r="U79" s="89"/>
      <c r="V79" s="92"/>
      <c r="W79" s="120"/>
      <c r="X79" s="85"/>
    </row>
    <row r="80" spans="1:24" s="84" customFormat="1" ht="25.15" customHeight="1">
      <c r="A80" s="108"/>
      <c r="B80" s="110">
        <v>69</v>
      </c>
      <c r="C80" s="249" t="s">
        <v>158</v>
      </c>
      <c r="D80" s="122">
        <v>0</v>
      </c>
      <c r="E80" s="111">
        <v>495008</v>
      </c>
      <c r="F80" s="121" t="s">
        <v>159</v>
      </c>
      <c r="G80" s="267" t="s">
        <v>160</v>
      </c>
      <c r="H80" s="267"/>
      <c r="I80" s="267"/>
      <c r="J80" s="267"/>
      <c r="K80" s="112" t="s">
        <v>39</v>
      </c>
      <c r="L80" s="93" t="s">
        <v>42</v>
      </c>
      <c r="M80" s="93"/>
      <c r="N80" s="86"/>
      <c r="O80" s="260"/>
      <c r="P80" s="260"/>
      <c r="Q80" s="93"/>
      <c r="R80" s="87"/>
      <c r="S80" s="93"/>
      <c r="T80" s="88"/>
      <c r="U80" s="93"/>
      <c r="V80" s="88"/>
      <c r="W80" s="113"/>
      <c r="X80" s="85"/>
    </row>
    <row r="81" spans="1:24" s="84" customFormat="1" ht="25.15" customHeight="1">
      <c r="A81" s="108"/>
      <c r="B81" s="152">
        <v>70</v>
      </c>
      <c r="C81" s="250"/>
      <c r="D81" s="204">
        <v>1</v>
      </c>
      <c r="E81" s="162">
        <v>495008</v>
      </c>
      <c r="F81" s="171" t="s">
        <v>161</v>
      </c>
      <c r="G81" s="268" t="s">
        <v>160</v>
      </c>
      <c r="H81" s="268"/>
      <c r="I81" s="268"/>
      <c r="J81" s="268"/>
      <c r="K81" s="154" t="s">
        <v>162</v>
      </c>
      <c r="L81" s="153" t="s">
        <v>42</v>
      </c>
      <c r="M81" s="153"/>
      <c r="N81" s="155"/>
      <c r="O81" s="153"/>
      <c r="P81" s="153"/>
      <c r="Q81" s="94">
        <v>326275425</v>
      </c>
      <c r="R81" s="82">
        <v>46327</v>
      </c>
      <c r="S81" s="94"/>
      <c r="T81" s="83"/>
      <c r="U81" s="94" t="s">
        <v>143</v>
      </c>
      <c r="V81" s="83" t="s">
        <v>3</v>
      </c>
      <c r="W81" s="156"/>
      <c r="X81" s="85"/>
    </row>
    <row r="82" spans="1:24" s="84" customFormat="1" ht="25.15" customHeight="1">
      <c r="A82" s="108"/>
      <c r="B82" s="114">
        <v>71</v>
      </c>
      <c r="C82" s="251"/>
      <c r="D82" s="95">
        <v>0</v>
      </c>
      <c r="E82" s="78" t="s">
        <v>43</v>
      </c>
      <c r="F82" s="99" t="s">
        <v>43</v>
      </c>
      <c r="G82" s="215" t="s">
        <v>163</v>
      </c>
      <c r="H82" s="215"/>
      <c r="I82" s="215"/>
      <c r="J82" s="215"/>
      <c r="K82" s="79" t="s">
        <v>39</v>
      </c>
      <c r="L82" s="94" t="s">
        <v>42</v>
      </c>
      <c r="M82" s="94"/>
      <c r="N82" s="81"/>
      <c r="O82" s="218"/>
      <c r="P82" s="218"/>
      <c r="Q82" s="94"/>
      <c r="R82" s="82"/>
      <c r="S82" s="94"/>
      <c r="T82" s="83"/>
      <c r="U82" s="94"/>
      <c r="V82" s="83"/>
      <c r="W82" s="115"/>
      <c r="X82" s="85"/>
    </row>
    <row r="83" spans="1:24" s="84" customFormat="1" ht="25.15" customHeight="1">
      <c r="A83" s="108"/>
      <c r="B83" s="114">
        <v>72</v>
      </c>
      <c r="C83" s="251"/>
      <c r="D83" s="95">
        <v>0</v>
      </c>
      <c r="E83" s="78" t="s">
        <v>43</v>
      </c>
      <c r="F83" s="99" t="s">
        <v>43</v>
      </c>
      <c r="G83" s="215" t="s">
        <v>164</v>
      </c>
      <c r="H83" s="215"/>
      <c r="I83" s="215"/>
      <c r="J83" s="215"/>
      <c r="K83" s="79" t="s">
        <v>39</v>
      </c>
      <c r="L83" s="94" t="s">
        <v>42</v>
      </c>
      <c r="M83" s="94"/>
      <c r="N83" s="81"/>
      <c r="O83" s="218"/>
      <c r="P83" s="218"/>
      <c r="Q83" s="94"/>
      <c r="R83" s="94"/>
      <c r="S83" s="94"/>
      <c r="T83" s="83"/>
      <c r="U83" s="94"/>
      <c r="V83" s="83"/>
      <c r="W83" s="115"/>
      <c r="X83" s="85"/>
    </row>
    <row r="84" spans="1:24" s="84" customFormat="1" ht="25.15" customHeight="1">
      <c r="A84" s="108"/>
      <c r="B84" s="110">
        <v>73</v>
      </c>
      <c r="C84" s="251"/>
      <c r="D84" s="95">
        <v>0</v>
      </c>
      <c r="E84" s="78" t="s">
        <v>43</v>
      </c>
      <c r="F84" s="99" t="s">
        <v>43</v>
      </c>
      <c r="G84" s="215" t="s">
        <v>165</v>
      </c>
      <c r="H84" s="215"/>
      <c r="I84" s="215"/>
      <c r="J84" s="215"/>
      <c r="K84" s="79" t="s">
        <v>39</v>
      </c>
      <c r="L84" s="94" t="s">
        <v>42</v>
      </c>
      <c r="M84" s="94"/>
      <c r="N84" s="81"/>
      <c r="O84" s="218"/>
      <c r="P84" s="218"/>
      <c r="Q84" s="94"/>
      <c r="R84" s="94"/>
      <c r="S84" s="94"/>
      <c r="T84" s="83"/>
      <c r="U84" s="94"/>
      <c r="V84" s="83"/>
      <c r="W84" s="115"/>
      <c r="X84" s="85"/>
    </row>
    <row r="85" spans="1:24" s="84" customFormat="1" ht="25.15" customHeight="1">
      <c r="A85" s="108"/>
      <c r="B85" s="152">
        <v>74</v>
      </c>
      <c r="C85" s="251"/>
      <c r="D85" s="95">
        <v>0</v>
      </c>
      <c r="E85" s="78" t="s">
        <v>43</v>
      </c>
      <c r="F85" s="97" t="s">
        <v>43</v>
      </c>
      <c r="G85" s="215" t="s">
        <v>166</v>
      </c>
      <c r="H85" s="215"/>
      <c r="I85" s="215"/>
      <c r="J85" s="215"/>
      <c r="K85" s="79" t="s">
        <v>39</v>
      </c>
      <c r="L85" s="94" t="s">
        <v>42</v>
      </c>
      <c r="M85" s="94"/>
      <c r="N85" s="81"/>
      <c r="O85" s="218"/>
      <c r="P85" s="218"/>
      <c r="Q85" s="94"/>
      <c r="R85" s="94"/>
      <c r="S85" s="94"/>
      <c r="T85" s="83"/>
      <c r="U85" s="94"/>
      <c r="V85" s="83"/>
      <c r="W85" s="115"/>
      <c r="X85" s="85"/>
    </row>
    <row r="86" spans="1:24" s="84" customFormat="1" ht="25.15" customHeight="1">
      <c r="A86" s="130" t="s">
        <v>167</v>
      </c>
      <c r="B86" s="114">
        <v>75</v>
      </c>
      <c r="C86" s="251"/>
      <c r="D86" s="95">
        <v>0</v>
      </c>
      <c r="E86" s="78" t="s">
        <v>43</v>
      </c>
      <c r="F86" s="99" t="s">
        <v>43</v>
      </c>
      <c r="G86" s="255" t="s">
        <v>168</v>
      </c>
      <c r="H86" s="255"/>
      <c r="I86" s="255"/>
      <c r="J86" s="255"/>
      <c r="K86" s="195" t="s">
        <v>43</v>
      </c>
      <c r="L86" s="195" t="s">
        <v>43</v>
      </c>
      <c r="M86" s="94"/>
      <c r="N86" s="81"/>
      <c r="O86" s="218"/>
      <c r="P86" s="218"/>
      <c r="Q86" s="94"/>
      <c r="R86" s="82"/>
      <c r="S86" s="94"/>
      <c r="T86" s="83"/>
      <c r="U86" s="94"/>
      <c r="V86" s="83"/>
      <c r="W86" s="115"/>
      <c r="X86" s="85"/>
    </row>
    <row r="87" spans="1:24" s="84" customFormat="1" ht="25.15" customHeight="1">
      <c r="A87" s="130"/>
      <c r="B87" s="114">
        <v>76</v>
      </c>
      <c r="C87" s="251"/>
      <c r="D87" s="95">
        <v>1</v>
      </c>
      <c r="E87" s="78">
        <v>498056</v>
      </c>
      <c r="F87" s="99" t="s">
        <v>169</v>
      </c>
      <c r="G87" s="255" t="s">
        <v>168</v>
      </c>
      <c r="H87" s="255"/>
      <c r="I87" s="255"/>
      <c r="J87" s="255"/>
      <c r="K87" s="79" t="s">
        <v>170</v>
      </c>
      <c r="L87" s="94" t="s">
        <v>42</v>
      </c>
      <c r="M87" s="94"/>
      <c r="N87" s="81"/>
      <c r="O87" s="94"/>
      <c r="P87" s="94"/>
      <c r="Q87" s="193">
        <v>326276167</v>
      </c>
      <c r="R87" s="82">
        <v>46327</v>
      </c>
      <c r="S87" s="94"/>
      <c r="T87" s="83"/>
      <c r="U87" s="94" t="s">
        <v>143</v>
      </c>
      <c r="V87" s="83" t="s">
        <v>3</v>
      </c>
      <c r="W87" s="115"/>
      <c r="X87" s="85"/>
    </row>
    <row r="88" spans="1:24" s="84" customFormat="1" ht="25.15" customHeight="1">
      <c r="A88" s="130" t="s">
        <v>171</v>
      </c>
      <c r="B88" s="110">
        <v>77</v>
      </c>
      <c r="C88" s="251"/>
      <c r="D88" s="95">
        <v>0</v>
      </c>
      <c r="E88" s="78" t="s">
        <v>43</v>
      </c>
      <c r="F88" s="99" t="s">
        <v>43</v>
      </c>
      <c r="G88" s="215" t="s">
        <v>172</v>
      </c>
      <c r="H88" s="215"/>
      <c r="I88" s="215"/>
      <c r="J88" s="215"/>
      <c r="K88" s="79" t="s">
        <v>170</v>
      </c>
      <c r="L88" s="94" t="s">
        <v>42</v>
      </c>
      <c r="M88" s="94"/>
      <c r="N88" s="81"/>
      <c r="O88" s="218"/>
      <c r="P88" s="218"/>
      <c r="Q88" s="94"/>
      <c r="R88" s="94"/>
      <c r="S88" s="94"/>
      <c r="T88" s="83"/>
      <c r="U88" s="94"/>
      <c r="V88" s="83"/>
      <c r="W88" s="115"/>
      <c r="X88" s="85"/>
    </row>
    <row r="89" spans="1:24" s="84" customFormat="1" ht="25.15" customHeight="1">
      <c r="A89" s="130" t="s">
        <v>173</v>
      </c>
      <c r="B89" s="152">
        <v>78</v>
      </c>
      <c r="C89" s="251"/>
      <c r="D89" s="95">
        <v>0</v>
      </c>
      <c r="E89" s="78" t="s">
        <v>43</v>
      </c>
      <c r="F89" s="99" t="s">
        <v>43</v>
      </c>
      <c r="G89" s="215" t="s">
        <v>174</v>
      </c>
      <c r="H89" s="215"/>
      <c r="I89" s="215"/>
      <c r="J89" s="215"/>
      <c r="K89" s="79" t="s">
        <v>170</v>
      </c>
      <c r="L89" s="94" t="s">
        <v>42</v>
      </c>
      <c r="M89" s="94"/>
      <c r="N89" s="81"/>
      <c r="O89" s="218"/>
      <c r="P89" s="218"/>
      <c r="Q89" s="94"/>
      <c r="R89" s="82"/>
      <c r="S89" s="94"/>
      <c r="T89" s="83"/>
      <c r="U89" s="94"/>
      <c r="V89" s="83"/>
      <c r="W89" s="115"/>
      <c r="X89" s="85"/>
    </row>
    <row r="90" spans="1:24" s="84" customFormat="1" ht="25.15" customHeight="1">
      <c r="A90" s="130" t="s">
        <v>175</v>
      </c>
      <c r="B90" s="114">
        <v>79</v>
      </c>
      <c r="C90" s="251"/>
      <c r="D90" s="95">
        <v>0</v>
      </c>
      <c r="E90" s="78" t="s">
        <v>43</v>
      </c>
      <c r="F90" s="99" t="s">
        <v>43</v>
      </c>
      <c r="G90" s="215" t="s">
        <v>176</v>
      </c>
      <c r="H90" s="215"/>
      <c r="I90" s="215"/>
      <c r="J90" s="215"/>
      <c r="K90" s="79" t="s">
        <v>170</v>
      </c>
      <c r="L90" s="94" t="s">
        <v>42</v>
      </c>
      <c r="M90" s="94"/>
      <c r="N90" s="81"/>
      <c r="O90" s="218"/>
      <c r="P90" s="218"/>
      <c r="Q90" s="94"/>
      <c r="R90" s="82"/>
      <c r="S90" s="94"/>
      <c r="T90" s="83"/>
      <c r="U90" s="94"/>
      <c r="V90" s="83"/>
      <c r="W90" s="115"/>
      <c r="X90" s="85"/>
    </row>
    <row r="91" spans="1:24" s="84" customFormat="1" ht="25.15" customHeight="1">
      <c r="A91" s="130" t="s">
        <v>177</v>
      </c>
      <c r="B91" s="114">
        <v>80</v>
      </c>
      <c r="C91" s="251"/>
      <c r="D91" s="95">
        <v>0</v>
      </c>
      <c r="E91" s="78" t="s">
        <v>43</v>
      </c>
      <c r="F91" s="99" t="s">
        <v>43</v>
      </c>
      <c r="G91" s="215" t="s">
        <v>178</v>
      </c>
      <c r="H91" s="215"/>
      <c r="I91" s="215"/>
      <c r="J91" s="215"/>
      <c r="K91" s="79" t="s">
        <v>170</v>
      </c>
      <c r="L91" s="94" t="s">
        <v>42</v>
      </c>
      <c r="M91" s="94"/>
      <c r="N91" s="81"/>
      <c r="O91" s="218"/>
      <c r="P91" s="218"/>
      <c r="Q91" s="94"/>
      <c r="R91" s="94"/>
      <c r="S91" s="94"/>
      <c r="T91" s="83"/>
      <c r="U91" s="94"/>
      <c r="V91" s="83"/>
      <c r="W91" s="115"/>
      <c r="X91" s="85"/>
    </row>
    <row r="92" spans="1:24" s="84" customFormat="1" ht="25.15" customHeight="1">
      <c r="A92" s="130" t="s">
        <v>179</v>
      </c>
      <c r="B92" s="110">
        <v>81</v>
      </c>
      <c r="C92" s="251"/>
      <c r="D92" s="95">
        <v>0</v>
      </c>
      <c r="E92" s="78" t="s">
        <v>43</v>
      </c>
      <c r="F92" s="99" t="s">
        <v>43</v>
      </c>
      <c r="G92" s="215" t="s">
        <v>180</v>
      </c>
      <c r="H92" s="215"/>
      <c r="I92" s="215"/>
      <c r="J92" s="215"/>
      <c r="K92" s="79" t="s">
        <v>39</v>
      </c>
      <c r="L92" s="94" t="s">
        <v>42</v>
      </c>
      <c r="M92" s="94"/>
      <c r="N92" s="81"/>
      <c r="O92" s="218"/>
      <c r="P92" s="218"/>
      <c r="Q92" s="94"/>
      <c r="R92" s="94"/>
      <c r="S92" s="94"/>
      <c r="T92" s="83"/>
      <c r="U92" s="94"/>
      <c r="V92" s="83"/>
      <c r="W92" s="115"/>
      <c r="X92" s="85"/>
    </row>
    <row r="93" spans="1:24" s="84" customFormat="1" ht="25.15" customHeight="1">
      <c r="A93" s="108"/>
      <c r="B93" s="152">
        <v>82</v>
      </c>
      <c r="C93" s="251"/>
      <c r="D93" s="95">
        <v>0</v>
      </c>
      <c r="E93" s="78" t="s">
        <v>43</v>
      </c>
      <c r="F93" s="99" t="s">
        <v>43</v>
      </c>
      <c r="G93" s="215" t="s">
        <v>180</v>
      </c>
      <c r="H93" s="215"/>
      <c r="I93" s="215"/>
      <c r="J93" s="215"/>
      <c r="K93" s="79" t="s">
        <v>39</v>
      </c>
      <c r="L93" s="94" t="s">
        <v>42</v>
      </c>
      <c r="M93" s="94"/>
      <c r="N93" s="81"/>
      <c r="O93" s="218"/>
      <c r="P93" s="218"/>
      <c r="Q93" s="94"/>
      <c r="R93" s="82"/>
      <c r="S93" s="94"/>
      <c r="T93" s="83"/>
      <c r="U93" s="94"/>
      <c r="V93" s="83"/>
      <c r="W93" s="115"/>
      <c r="X93" s="85"/>
    </row>
    <row r="94" spans="1:24" s="84" customFormat="1" ht="25.15" customHeight="1">
      <c r="A94" s="108"/>
      <c r="B94" s="114">
        <v>83</v>
      </c>
      <c r="C94" s="251"/>
      <c r="D94" s="95">
        <v>0</v>
      </c>
      <c r="E94" s="78" t="s">
        <v>43</v>
      </c>
      <c r="F94" s="99" t="s">
        <v>43</v>
      </c>
      <c r="G94" s="215" t="s">
        <v>181</v>
      </c>
      <c r="H94" s="215"/>
      <c r="I94" s="215"/>
      <c r="J94" s="215"/>
      <c r="K94" s="79" t="s">
        <v>39</v>
      </c>
      <c r="L94" s="94" t="s">
        <v>42</v>
      </c>
      <c r="M94" s="94"/>
      <c r="N94" s="81"/>
      <c r="O94" s="218"/>
      <c r="P94" s="218"/>
      <c r="Q94" s="94"/>
      <c r="R94" s="82"/>
      <c r="S94" s="94"/>
      <c r="T94" s="83"/>
      <c r="U94" s="94"/>
      <c r="V94" s="83"/>
      <c r="W94" s="115"/>
      <c r="X94" s="85"/>
    </row>
    <row r="95" spans="1:24" s="84" customFormat="1" ht="25.15" customHeight="1">
      <c r="A95" s="108"/>
      <c r="B95" s="114">
        <v>84</v>
      </c>
      <c r="C95" s="251"/>
      <c r="D95" s="95">
        <v>0</v>
      </c>
      <c r="E95" s="78" t="s">
        <v>43</v>
      </c>
      <c r="F95" s="99" t="s">
        <v>43</v>
      </c>
      <c r="G95" s="215" t="s">
        <v>181</v>
      </c>
      <c r="H95" s="215"/>
      <c r="I95" s="215"/>
      <c r="J95" s="215"/>
      <c r="K95" s="79" t="s">
        <v>39</v>
      </c>
      <c r="L95" s="94" t="s">
        <v>42</v>
      </c>
      <c r="M95" s="94"/>
      <c r="N95" s="81"/>
      <c r="O95" s="218"/>
      <c r="P95" s="218"/>
      <c r="Q95" s="94"/>
      <c r="R95" s="82"/>
      <c r="S95" s="94"/>
      <c r="T95" s="83"/>
      <c r="U95" s="94"/>
      <c r="V95" s="83"/>
      <c r="W95" s="115"/>
      <c r="X95" s="85"/>
    </row>
    <row r="96" spans="1:24" s="84" customFormat="1" ht="25.15" customHeight="1">
      <c r="A96" s="108"/>
      <c r="B96" s="110">
        <v>85</v>
      </c>
      <c r="C96" s="251"/>
      <c r="D96" s="95">
        <v>0</v>
      </c>
      <c r="E96" s="78" t="s">
        <v>43</v>
      </c>
      <c r="F96" s="99" t="s">
        <v>43</v>
      </c>
      <c r="G96" s="215" t="s">
        <v>182</v>
      </c>
      <c r="H96" s="215"/>
      <c r="I96" s="215"/>
      <c r="J96" s="215"/>
      <c r="K96" s="79" t="s">
        <v>43</v>
      </c>
      <c r="L96" s="94" t="s">
        <v>43</v>
      </c>
      <c r="M96" s="94"/>
      <c r="N96" s="81"/>
      <c r="O96" s="218"/>
      <c r="P96" s="218"/>
      <c r="Q96" s="94"/>
      <c r="R96" s="82"/>
      <c r="S96" s="94"/>
      <c r="T96" s="83"/>
      <c r="U96" s="94"/>
      <c r="V96" s="83"/>
      <c r="W96" s="115"/>
      <c r="X96" s="85"/>
    </row>
    <row r="97" spans="1:24" s="84" customFormat="1" ht="25.15" customHeight="1">
      <c r="A97" s="108"/>
      <c r="B97" s="152">
        <v>86</v>
      </c>
      <c r="C97" s="251"/>
      <c r="D97" s="95">
        <v>0</v>
      </c>
      <c r="E97" s="78" t="s">
        <v>43</v>
      </c>
      <c r="F97" s="99" t="s">
        <v>43</v>
      </c>
      <c r="G97" s="215" t="s">
        <v>183</v>
      </c>
      <c r="H97" s="215"/>
      <c r="I97" s="215"/>
      <c r="J97" s="215"/>
      <c r="K97" s="79" t="s">
        <v>43</v>
      </c>
      <c r="L97" s="94" t="s">
        <v>43</v>
      </c>
      <c r="M97" s="94"/>
      <c r="N97" s="81"/>
      <c r="O97" s="218"/>
      <c r="P97" s="218"/>
      <c r="Q97" s="94"/>
      <c r="R97" s="82"/>
      <c r="S97" s="94"/>
      <c r="T97" s="83"/>
      <c r="U97" s="94"/>
      <c r="V97" s="83"/>
      <c r="W97" s="115"/>
      <c r="X97" s="85"/>
    </row>
    <row r="98" spans="1:24" s="84" customFormat="1" ht="25.15" customHeight="1">
      <c r="A98" s="108"/>
      <c r="B98" s="114">
        <v>87</v>
      </c>
      <c r="C98" s="251"/>
      <c r="D98" s="95">
        <v>0</v>
      </c>
      <c r="E98" s="78" t="s">
        <v>43</v>
      </c>
      <c r="F98" s="99" t="s">
        <v>43</v>
      </c>
      <c r="G98" s="215" t="s">
        <v>183</v>
      </c>
      <c r="H98" s="215"/>
      <c r="I98" s="215"/>
      <c r="J98" s="215"/>
      <c r="K98" s="79" t="s">
        <v>43</v>
      </c>
      <c r="L98" s="94" t="s">
        <v>43</v>
      </c>
      <c r="M98" s="94"/>
      <c r="N98" s="81"/>
      <c r="O98" s="218"/>
      <c r="P98" s="218"/>
      <c r="Q98" s="94"/>
      <c r="R98" s="82"/>
      <c r="S98" s="94"/>
      <c r="T98" s="83"/>
      <c r="U98" s="94"/>
      <c r="V98" s="83"/>
      <c r="W98" s="115"/>
      <c r="X98" s="85"/>
    </row>
    <row r="99" spans="1:24" s="84" customFormat="1" ht="25.15" customHeight="1">
      <c r="A99" s="108"/>
      <c r="B99" s="114">
        <v>88</v>
      </c>
      <c r="C99" s="251"/>
      <c r="D99" s="95">
        <v>0</v>
      </c>
      <c r="E99" s="78">
        <v>495014</v>
      </c>
      <c r="F99" s="99" t="s">
        <v>43</v>
      </c>
      <c r="G99" s="215" t="s">
        <v>184</v>
      </c>
      <c r="H99" s="215"/>
      <c r="I99" s="215"/>
      <c r="J99" s="215"/>
      <c r="K99" s="99" t="s">
        <v>43</v>
      </c>
      <c r="L99" s="94" t="s">
        <v>42</v>
      </c>
      <c r="M99" s="94"/>
      <c r="N99" s="81"/>
      <c r="O99" s="218"/>
      <c r="P99" s="218"/>
      <c r="Q99" s="94"/>
      <c r="R99" s="94"/>
      <c r="S99" s="94"/>
      <c r="T99" s="83"/>
      <c r="U99" s="94"/>
      <c r="V99" s="83"/>
      <c r="W99" s="115"/>
      <c r="X99" s="85"/>
    </row>
    <row r="100" spans="1:24" s="84" customFormat="1" ht="25.15" customHeight="1">
      <c r="A100" s="108"/>
      <c r="B100" s="110">
        <v>89</v>
      </c>
      <c r="C100" s="251"/>
      <c r="D100" s="95">
        <v>1</v>
      </c>
      <c r="E100" s="78">
        <v>495014</v>
      </c>
      <c r="F100" s="99" t="s">
        <v>185</v>
      </c>
      <c r="G100" s="215" t="s">
        <v>184</v>
      </c>
      <c r="H100" s="215"/>
      <c r="I100" s="215"/>
      <c r="J100" s="215"/>
      <c r="K100" s="79" t="s">
        <v>186</v>
      </c>
      <c r="L100" s="94" t="s">
        <v>42</v>
      </c>
      <c r="M100" s="94"/>
      <c r="N100" s="81"/>
      <c r="O100" s="94"/>
      <c r="P100" s="94"/>
      <c r="Q100" s="193">
        <v>326276167</v>
      </c>
      <c r="R100" s="82">
        <v>46327</v>
      </c>
      <c r="S100" s="94"/>
      <c r="T100" s="83"/>
      <c r="U100" s="94" t="s">
        <v>143</v>
      </c>
      <c r="V100" s="83" t="s">
        <v>3</v>
      </c>
      <c r="W100" s="115"/>
      <c r="X100" s="85"/>
    </row>
    <row r="101" spans="1:24" s="84" customFormat="1" ht="25.15" customHeight="1">
      <c r="A101" s="108"/>
      <c r="B101" s="152">
        <v>90</v>
      </c>
      <c r="C101" s="251"/>
      <c r="D101" s="95">
        <v>0</v>
      </c>
      <c r="E101" s="78">
        <v>495015</v>
      </c>
      <c r="F101" s="99" t="s">
        <v>43</v>
      </c>
      <c r="G101" s="215" t="s">
        <v>187</v>
      </c>
      <c r="H101" s="215"/>
      <c r="I101" s="215"/>
      <c r="J101" s="215"/>
      <c r="K101" s="99" t="s">
        <v>43</v>
      </c>
      <c r="L101" s="133" t="s">
        <v>42</v>
      </c>
      <c r="M101" s="94"/>
      <c r="N101" s="81"/>
      <c r="O101" s="218"/>
      <c r="P101" s="218"/>
      <c r="Q101" s="94"/>
      <c r="R101" s="94"/>
      <c r="S101" s="94"/>
      <c r="T101" s="83"/>
      <c r="U101" s="94"/>
      <c r="V101" s="83"/>
      <c r="W101" s="115"/>
      <c r="X101" s="85"/>
    </row>
    <row r="102" spans="1:24" s="84" customFormat="1" ht="25.15" customHeight="1">
      <c r="A102" s="108"/>
      <c r="B102" s="114">
        <v>91</v>
      </c>
      <c r="C102" s="263"/>
      <c r="D102" s="147">
        <v>1</v>
      </c>
      <c r="E102" s="78">
        <v>495015</v>
      </c>
      <c r="F102" s="99" t="s">
        <v>188</v>
      </c>
      <c r="G102" s="215" t="s">
        <v>187</v>
      </c>
      <c r="H102" s="215"/>
      <c r="I102" s="215"/>
      <c r="J102" s="215"/>
      <c r="K102" s="141" t="s">
        <v>186</v>
      </c>
      <c r="L102" s="185" t="s">
        <v>42</v>
      </c>
      <c r="M102" s="139"/>
      <c r="N102" s="142"/>
      <c r="O102" s="139"/>
      <c r="P102" s="139"/>
      <c r="Q102" s="193">
        <v>326276167</v>
      </c>
      <c r="R102" s="82">
        <v>46327</v>
      </c>
      <c r="S102" s="94"/>
      <c r="T102" s="83"/>
      <c r="U102" s="94" t="s">
        <v>143</v>
      </c>
      <c r="V102" s="83" t="s">
        <v>3</v>
      </c>
      <c r="W102" s="144"/>
      <c r="X102" s="85"/>
    </row>
    <row r="103" spans="1:24" s="84" customFormat="1" ht="25.15" customHeight="1">
      <c r="A103" s="108"/>
      <c r="B103" s="114">
        <v>92</v>
      </c>
      <c r="C103" s="252"/>
      <c r="D103" s="203">
        <v>0</v>
      </c>
      <c r="E103" s="118">
        <v>495011</v>
      </c>
      <c r="F103" s="119" t="s">
        <v>43</v>
      </c>
      <c r="G103" s="257" t="s">
        <v>189</v>
      </c>
      <c r="H103" s="257"/>
      <c r="I103" s="257"/>
      <c r="J103" s="257"/>
      <c r="K103" s="80" t="s">
        <v>43</v>
      </c>
      <c r="L103" s="89" t="s">
        <v>43</v>
      </c>
      <c r="M103" s="89"/>
      <c r="N103" s="90"/>
      <c r="O103" s="258"/>
      <c r="P103" s="258"/>
      <c r="Q103" s="89"/>
      <c r="R103" s="91"/>
      <c r="S103" s="89"/>
      <c r="T103" s="92"/>
      <c r="U103" s="89"/>
      <c r="V103" s="92"/>
      <c r="W103" s="120"/>
      <c r="X103" s="85"/>
    </row>
    <row r="104" spans="1:24" s="84" customFormat="1" ht="25.15" customHeight="1">
      <c r="A104" s="108"/>
      <c r="B104" s="110">
        <v>93</v>
      </c>
      <c r="C104" s="249" t="s">
        <v>190</v>
      </c>
      <c r="D104" s="122">
        <v>0</v>
      </c>
      <c r="E104" s="111" t="s">
        <v>43</v>
      </c>
      <c r="F104" s="111" t="s">
        <v>191</v>
      </c>
      <c r="G104" s="259" t="s">
        <v>192</v>
      </c>
      <c r="H104" s="259"/>
      <c r="I104" s="259"/>
      <c r="J104" s="259"/>
      <c r="K104" s="112" t="s">
        <v>193</v>
      </c>
      <c r="L104" s="93" t="s">
        <v>42</v>
      </c>
      <c r="M104" s="93"/>
      <c r="N104" s="86"/>
      <c r="O104" s="260"/>
      <c r="P104" s="260"/>
      <c r="Q104" s="93"/>
      <c r="R104" s="87"/>
      <c r="S104" s="93"/>
      <c r="T104" s="88"/>
      <c r="U104" s="93"/>
      <c r="V104" s="88"/>
      <c r="W104" s="113"/>
      <c r="X104" s="85"/>
    </row>
    <row r="105" spans="1:24" s="84" customFormat="1" ht="22.5" customHeight="1">
      <c r="A105" s="108"/>
      <c r="B105" s="152">
        <v>94</v>
      </c>
      <c r="C105" s="251"/>
      <c r="D105" s="95">
        <v>1</v>
      </c>
      <c r="E105" s="78">
        <v>495034</v>
      </c>
      <c r="F105" s="78" t="s">
        <v>194</v>
      </c>
      <c r="G105" s="215" t="s">
        <v>195</v>
      </c>
      <c r="H105" s="215"/>
      <c r="I105" s="215"/>
      <c r="J105" s="215"/>
      <c r="K105" s="79" t="s">
        <v>39</v>
      </c>
      <c r="L105" s="94" t="s">
        <v>42</v>
      </c>
      <c r="M105" s="94"/>
      <c r="N105" s="81"/>
      <c r="O105" s="94"/>
      <c r="P105" s="94"/>
      <c r="Q105" s="94">
        <v>326276514</v>
      </c>
      <c r="R105" s="82">
        <v>46327</v>
      </c>
      <c r="S105" s="94"/>
      <c r="T105" s="83"/>
      <c r="U105" s="94" t="s">
        <v>143</v>
      </c>
      <c r="V105" s="83" t="s">
        <v>3</v>
      </c>
      <c r="W105" s="115"/>
      <c r="X105" s="85"/>
    </row>
    <row r="106" spans="1:24" s="84" customFormat="1" ht="25.15" customHeight="1">
      <c r="A106" s="108"/>
      <c r="B106" s="114">
        <v>95</v>
      </c>
      <c r="C106" s="251"/>
      <c r="D106" s="95">
        <v>1</v>
      </c>
      <c r="E106" s="99">
        <v>495009</v>
      </c>
      <c r="F106" s="99" t="s">
        <v>196</v>
      </c>
      <c r="G106" s="215" t="s">
        <v>197</v>
      </c>
      <c r="H106" s="215"/>
      <c r="I106" s="215"/>
      <c r="J106" s="215"/>
      <c r="K106" s="79" t="s">
        <v>39</v>
      </c>
      <c r="L106" s="94" t="s">
        <v>42</v>
      </c>
      <c r="M106" s="94"/>
      <c r="N106" s="81"/>
      <c r="O106" s="218"/>
      <c r="P106" s="218"/>
      <c r="Q106" s="94">
        <v>326276514</v>
      </c>
      <c r="R106" s="82">
        <v>46327</v>
      </c>
      <c r="S106" s="94"/>
      <c r="T106" s="83"/>
      <c r="U106" s="94" t="s">
        <v>143</v>
      </c>
      <c r="V106" s="83" t="s">
        <v>3</v>
      </c>
      <c r="W106" s="115"/>
      <c r="X106" s="85"/>
    </row>
    <row r="107" spans="1:24" s="84" customFormat="1" ht="25.15" customHeight="1">
      <c r="A107" s="108"/>
      <c r="B107" s="114">
        <v>96</v>
      </c>
      <c r="C107" s="251"/>
      <c r="D107" s="95">
        <v>0</v>
      </c>
      <c r="E107" s="99">
        <v>495024</v>
      </c>
      <c r="F107" s="99" t="s">
        <v>43</v>
      </c>
      <c r="G107" s="215" t="s">
        <v>198</v>
      </c>
      <c r="H107" s="215"/>
      <c r="I107" s="215"/>
      <c r="J107" s="215"/>
      <c r="K107" s="79" t="s">
        <v>47</v>
      </c>
      <c r="L107" s="94" t="s">
        <v>43</v>
      </c>
      <c r="M107" s="94"/>
      <c r="N107" s="81"/>
      <c r="O107" s="218"/>
      <c r="P107" s="218"/>
      <c r="Q107" s="94"/>
      <c r="R107" s="82"/>
      <c r="S107" s="94"/>
      <c r="T107" s="83"/>
      <c r="U107" s="94"/>
      <c r="V107" s="83"/>
      <c r="W107" s="115"/>
      <c r="X107" s="85"/>
    </row>
    <row r="108" spans="1:24" s="84" customFormat="1" ht="27" customHeight="1">
      <c r="A108" s="108"/>
      <c r="B108" s="110">
        <v>97</v>
      </c>
      <c r="C108" s="251"/>
      <c r="D108" s="95">
        <v>1</v>
      </c>
      <c r="E108" s="99">
        <v>495010</v>
      </c>
      <c r="F108" s="99" t="s">
        <v>199</v>
      </c>
      <c r="G108" s="215" t="s">
        <v>200</v>
      </c>
      <c r="H108" s="215"/>
      <c r="I108" s="215"/>
      <c r="J108" s="215"/>
      <c r="K108" s="79" t="s">
        <v>142</v>
      </c>
      <c r="L108" s="94" t="s">
        <v>42</v>
      </c>
      <c r="M108" s="94"/>
      <c r="N108" s="81"/>
      <c r="O108" s="218"/>
      <c r="P108" s="218"/>
      <c r="Q108" s="94">
        <v>326276514</v>
      </c>
      <c r="R108" s="82">
        <v>46327</v>
      </c>
      <c r="S108" s="94"/>
      <c r="T108" s="83"/>
      <c r="U108" s="94" t="s">
        <v>143</v>
      </c>
      <c r="V108" s="83" t="s">
        <v>3</v>
      </c>
      <c r="W108" s="115"/>
      <c r="X108" s="85"/>
    </row>
    <row r="109" spans="1:24" s="84" customFormat="1" ht="27" customHeight="1">
      <c r="A109" s="108"/>
      <c r="B109" s="152">
        <v>98</v>
      </c>
      <c r="C109" s="251"/>
      <c r="D109" s="95">
        <v>1</v>
      </c>
      <c r="E109" s="99">
        <v>495010</v>
      </c>
      <c r="F109" s="99" t="s">
        <v>201</v>
      </c>
      <c r="G109" s="215" t="s">
        <v>200</v>
      </c>
      <c r="H109" s="215"/>
      <c r="I109" s="215"/>
      <c r="J109" s="215"/>
      <c r="K109" s="79" t="s">
        <v>142</v>
      </c>
      <c r="L109" s="94" t="s">
        <v>42</v>
      </c>
      <c r="M109" s="94"/>
      <c r="N109" s="81"/>
      <c r="O109" s="94"/>
      <c r="P109" s="94"/>
      <c r="Q109" s="94">
        <v>326276514</v>
      </c>
      <c r="R109" s="82">
        <v>46327</v>
      </c>
      <c r="S109" s="94"/>
      <c r="T109" s="83"/>
      <c r="U109" s="94" t="s">
        <v>143</v>
      </c>
      <c r="V109" s="83" t="s">
        <v>3</v>
      </c>
      <c r="W109" s="115"/>
      <c r="X109" s="85"/>
    </row>
    <row r="110" spans="1:24" s="84" customFormat="1" ht="27" customHeight="1">
      <c r="A110" s="108"/>
      <c r="B110" s="114">
        <v>99</v>
      </c>
      <c r="C110" s="138"/>
      <c r="D110" s="147">
        <v>1</v>
      </c>
      <c r="E110" s="140">
        <v>495010</v>
      </c>
      <c r="F110" s="140" t="s">
        <v>202</v>
      </c>
      <c r="G110" s="280" t="s">
        <v>200</v>
      </c>
      <c r="H110" s="283"/>
      <c r="I110" s="283"/>
      <c r="J110" s="284"/>
      <c r="K110" s="141" t="s">
        <v>142</v>
      </c>
      <c r="L110" s="139" t="s">
        <v>42</v>
      </c>
      <c r="M110" s="139"/>
      <c r="N110" s="142"/>
      <c r="O110" s="139"/>
      <c r="P110" s="139"/>
      <c r="Q110" s="94">
        <v>326276514</v>
      </c>
      <c r="R110" s="82">
        <v>46327</v>
      </c>
      <c r="S110" s="94"/>
      <c r="T110" s="83"/>
      <c r="U110" s="94" t="s">
        <v>143</v>
      </c>
      <c r="V110" s="83" t="s">
        <v>3</v>
      </c>
      <c r="W110" s="144"/>
      <c r="X110" s="85"/>
    </row>
    <row r="111" spans="1:24" s="84" customFormat="1" ht="27" customHeight="1">
      <c r="A111" s="108"/>
      <c r="B111" s="114">
        <v>100</v>
      </c>
      <c r="C111" s="117"/>
      <c r="D111" s="203">
        <v>1</v>
      </c>
      <c r="E111" s="119">
        <v>495010</v>
      </c>
      <c r="F111" s="119" t="s">
        <v>203</v>
      </c>
      <c r="G111" s="217" t="s">
        <v>200</v>
      </c>
      <c r="H111" s="217"/>
      <c r="I111" s="217"/>
      <c r="J111" s="217"/>
      <c r="K111" s="80" t="s">
        <v>39</v>
      </c>
      <c r="L111" s="89" t="s">
        <v>42</v>
      </c>
      <c r="M111" s="89"/>
      <c r="N111" s="90"/>
      <c r="O111" s="89"/>
      <c r="P111" s="89"/>
      <c r="Q111" s="94">
        <v>326276514</v>
      </c>
      <c r="R111" s="82">
        <v>46327</v>
      </c>
      <c r="S111" s="94"/>
      <c r="T111" s="83"/>
      <c r="U111" s="94" t="s">
        <v>143</v>
      </c>
      <c r="V111" s="83" t="s">
        <v>3</v>
      </c>
      <c r="W111" s="120"/>
      <c r="X111" s="85"/>
    </row>
    <row r="112" spans="1:24" s="84" customFormat="1" ht="25.15" customHeight="1">
      <c r="A112" s="108"/>
      <c r="B112" s="110">
        <v>101</v>
      </c>
      <c r="C112" s="269" t="s">
        <v>204</v>
      </c>
      <c r="D112" s="122">
        <v>1</v>
      </c>
      <c r="E112" s="111">
        <v>495028</v>
      </c>
      <c r="F112" s="121" t="s">
        <v>205</v>
      </c>
      <c r="G112" s="259" t="s">
        <v>206</v>
      </c>
      <c r="H112" s="259"/>
      <c r="I112" s="259"/>
      <c r="J112" s="259"/>
      <c r="K112" s="112" t="s">
        <v>193</v>
      </c>
      <c r="L112" s="93" t="s">
        <v>42</v>
      </c>
      <c r="M112" s="93"/>
      <c r="N112" s="86"/>
      <c r="O112" s="260"/>
      <c r="P112" s="260"/>
      <c r="Q112" s="94">
        <v>326276514</v>
      </c>
      <c r="R112" s="82">
        <v>46327</v>
      </c>
      <c r="S112" s="94"/>
      <c r="T112" s="83"/>
      <c r="U112" s="94" t="s">
        <v>143</v>
      </c>
      <c r="V112" s="83" t="s">
        <v>3</v>
      </c>
      <c r="W112" s="113"/>
      <c r="X112" s="85"/>
    </row>
    <row r="113" spans="1:24" s="84" customFormat="1" ht="25.15" customHeight="1">
      <c r="A113" s="108"/>
      <c r="B113" s="152">
        <v>102</v>
      </c>
      <c r="C113" s="270"/>
      <c r="D113" s="95">
        <v>1</v>
      </c>
      <c r="E113" s="78">
        <v>495029</v>
      </c>
      <c r="F113" s="99" t="s">
        <v>207</v>
      </c>
      <c r="G113" s="215" t="s">
        <v>208</v>
      </c>
      <c r="H113" s="215"/>
      <c r="I113" s="215"/>
      <c r="J113" s="215"/>
      <c r="K113" s="79" t="s">
        <v>47</v>
      </c>
      <c r="L113" s="94" t="s">
        <v>209</v>
      </c>
      <c r="M113" s="94"/>
      <c r="N113" s="81"/>
      <c r="O113" s="218"/>
      <c r="P113" s="218"/>
      <c r="Q113" s="94">
        <v>326276514</v>
      </c>
      <c r="R113" s="82">
        <v>46327</v>
      </c>
      <c r="S113" s="94"/>
      <c r="T113" s="83"/>
      <c r="U113" s="94" t="s">
        <v>143</v>
      </c>
      <c r="V113" s="83" t="s">
        <v>3</v>
      </c>
      <c r="W113" s="115"/>
      <c r="X113" s="85"/>
    </row>
    <row r="114" spans="1:24" s="84" customFormat="1" ht="25.15" customHeight="1">
      <c r="A114" s="108"/>
      <c r="B114" s="114">
        <v>103</v>
      </c>
      <c r="C114" s="270"/>
      <c r="D114" s="95">
        <v>1</v>
      </c>
      <c r="E114" s="78"/>
      <c r="F114" s="99" t="s">
        <v>210</v>
      </c>
      <c r="G114" s="215" t="s">
        <v>211</v>
      </c>
      <c r="H114" s="215"/>
      <c r="I114" s="215"/>
      <c r="J114" s="215"/>
      <c r="K114" s="79" t="s">
        <v>47</v>
      </c>
      <c r="L114" s="94"/>
      <c r="M114" s="94"/>
      <c r="N114" s="81"/>
      <c r="O114" s="94"/>
      <c r="P114" s="94"/>
      <c r="Q114" s="94"/>
      <c r="R114" s="82"/>
      <c r="S114" s="94"/>
      <c r="T114" s="83"/>
      <c r="U114" s="94"/>
      <c r="V114" s="83"/>
      <c r="W114" s="115"/>
      <c r="X114" s="85"/>
    </row>
    <row r="115" spans="1:24" s="84" customFormat="1" ht="25.15" customHeight="1">
      <c r="A115" s="108"/>
      <c r="B115" s="114">
        <v>104</v>
      </c>
      <c r="C115" s="270"/>
      <c r="D115" s="95">
        <v>1</v>
      </c>
      <c r="E115" s="78">
        <v>495030</v>
      </c>
      <c r="F115" s="99" t="s">
        <v>212</v>
      </c>
      <c r="G115" s="215" t="s">
        <v>213</v>
      </c>
      <c r="H115" s="215"/>
      <c r="I115" s="215"/>
      <c r="J115" s="215"/>
      <c r="K115" s="79" t="s">
        <v>193</v>
      </c>
      <c r="L115" s="94" t="s">
        <v>42</v>
      </c>
      <c r="M115" s="94"/>
      <c r="N115" s="81"/>
      <c r="O115" s="218"/>
      <c r="P115" s="218"/>
      <c r="Q115" s="94">
        <v>326276514</v>
      </c>
      <c r="R115" s="82">
        <v>46327</v>
      </c>
      <c r="S115" s="94"/>
      <c r="T115" s="83"/>
      <c r="U115" s="94" t="s">
        <v>143</v>
      </c>
      <c r="V115" s="83" t="s">
        <v>3</v>
      </c>
      <c r="W115" s="115"/>
      <c r="X115" s="85"/>
    </row>
    <row r="116" spans="1:24" s="84" customFormat="1" ht="25.15" customHeight="1">
      <c r="A116" s="108"/>
      <c r="B116" s="110">
        <v>105</v>
      </c>
      <c r="C116" s="270"/>
      <c r="D116" s="95">
        <v>0</v>
      </c>
      <c r="E116" s="78">
        <v>495021</v>
      </c>
      <c r="F116" s="99" t="s">
        <v>43</v>
      </c>
      <c r="G116" s="215" t="s">
        <v>214</v>
      </c>
      <c r="H116" s="215"/>
      <c r="I116" s="215"/>
      <c r="J116" s="215"/>
      <c r="K116" s="79" t="s">
        <v>43</v>
      </c>
      <c r="L116" s="94" t="s">
        <v>43</v>
      </c>
      <c r="M116" s="94"/>
      <c r="N116" s="81"/>
      <c r="O116" s="218"/>
      <c r="P116" s="218"/>
      <c r="Q116" s="94"/>
      <c r="R116" s="94"/>
      <c r="S116" s="94"/>
      <c r="T116" s="83"/>
      <c r="U116" s="94"/>
      <c r="V116" s="83"/>
      <c r="W116" s="115"/>
      <c r="X116" s="85"/>
    </row>
    <row r="117" spans="1:24" s="84" customFormat="1" ht="25.15" customHeight="1">
      <c r="A117" s="108"/>
      <c r="B117" s="152">
        <v>106</v>
      </c>
      <c r="C117" s="270"/>
      <c r="D117" s="95">
        <v>1</v>
      </c>
      <c r="E117" s="78">
        <v>495020</v>
      </c>
      <c r="F117" s="99" t="s">
        <v>215</v>
      </c>
      <c r="G117" s="215" t="s">
        <v>216</v>
      </c>
      <c r="H117" s="215"/>
      <c r="I117" s="215"/>
      <c r="J117" s="215"/>
      <c r="K117" s="79" t="s">
        <v>47</v>
      </c>
      <c r="L117" s="133" t="s">
        <v>209</v>
      </c>
      <c r="M117" s="94"/>
      <c r="N117" s="81"/>
      <c r="O117" s="218"/>
      <c r="P117" s="218"/>
      <c r="Q117" s="94">
        <v>326276514</v>
      </c>
      <c r="R117" s="82">
        <v>46327</v>
      </c>
      <c r="S117" s="94"/>
      <c r="T117" s="83"/>
      <c r="U117" s="94" t="s">
        <v>143</v>
      </c>
      <c r="V117" s="83" t="s">
        <v>3</v>
      </c>
      <c r="W117" s="115"/>
      <c r="X117" s="85"/>
    </row>
    <row r="118" spans="1:24" s="84" customFormat="1" ht="25.15" customHeight="1">
      <c r="A118" s="108"/>
      <c r="B118" s="114">
        <v>107</v>
      </c>
      <c r="C118" s="270"/>
      <c r="D118" s="95">
        <v>1</v>
      </c>
      <c r="E118" s="78">
        <v>496815</v>
      </c>
      <c r="F118" s="99" t="s">
        <v>217</v>
      </c>
      <c r="G118" s="215" t="s">
        <v>218</v>
      </c>
      <c r="H118" s="215"/>
      <c r="I118" s="215"/>
      <c r="J118" s="215"/>
      <c r="K118" s="79" t="s">
        <v>47</v>
      </c>
      <c r="L118" s="133" t="s">
        <v>209</v>
      </c>
      <c r="M118" s="94"/>
      <c r="N118" s="81"/>
      <c r="O118" s="94"/>
      <c r="P118" s="94"/>
      <c r="Q118" s="94">
        <v>326276514</v>
      </c>
      <c r="R118" s="82">
        <v>46327</v>
      </c>
      <c r="S118" s="94"/>
      <c r="T118" s="83"/>
      <c r="U118" s="94" t="s">
        <v>143</v>
      </c>
      <c r="V118" s="83" t="s">
        <v>3</v>
      </c>
      <c r="W118" s="115"/>
      <c r="X118" s="85"/>
    </row>
    <row r="119" spans="1:24" s="84" customFormat="1" ht="25.15" customHeight="1">
      <c r="A119" s="108"/>
      <c r="B119" s="114">
        <v>108</v>
      </c>
      <c r="C119" s="271"/>
      <c r="D119" s="147">
        <v>1</v>
      </c>
      <c r="E119" s="201"/>
      <c r="F119" s="140" t="s">
        <v>219</v>
      </c>
      <c r="G119" s="215" t="s">
        <v>220</v>
      </c>
      <c r="H119" s="215"/>
      <c r="I119" s="215"/>
      <c r="J119" s="215"/>
      <c r="K119" s="141" t="s">
        <v>47</v>
      </c>
      <c r="L119" s="185"/>
      <c r="M119" s="139"/>
      <c r="N119" s="142"/>
      <c r="O119" s="139"/>
      <c r="P119" s="139"/>
      <c r="Q119" s="94"/>
      <c r="R119" s="82"/>
      <c r="S119" s="94"/>
      <c r="T119" s="83"/>
      <c r="U119" s="94"/>
      <c r="V119" s="83"/>
      <c r="W119" s="144"/>
      <c r="X119" s="85"/>
    </row>
    <row r="120" spans="1:24" s="84" customFormat="1" ht="25.15" customHeight="1">
      <c r="A120" s="108"/>
      <c r="B120" s="110">
        <v>109</v>
      </c>
      <c r="C120" s="271"/>
      <c r="D120" s="147">
        <v>1</v>
      </c>
      <c r="E120" s="201"/>
      <c r="F120" s="140" t="s">
        <v>221</v>
      </c>
      <c r="G120" s="217" t="s">
        <v>222</v>
      </c>
      <c r="H120" s="217"/>
      <c r="I120" s="217"/>
      <c r="J120" s="217"/>
      <c r="K120" s="141" t="s">
        <v>47</v>
      </c>
      <c r="L120" s="185"/>
      <c r="M120" s="139"/>
      <c r="N120" s="142"/>
      <c r="O120" s="139"/>
      <c r="P120" s="139"/>
      <c r="Q120" s="94"/>
      <c r="R120" s="82"/>
      <c r="S120" s="94"/>
      <c r="T120" s="83"/>
      <c r="U120" s="94"/>
      <c r="V120" s="83"/>
      <c r="W120" s="144"/>
      <c r="X120" s="85"/>
    </row>
    <row r="121" spans="1:24" s="84" customFormat="1" ht="25.15" customHeight="1">
      <c r="A121" s="108"/>
      <c r="B121" s="152">
        <v>110</v>
      </c>
      <c r="C121" s="271"/>
      <c r="D121" s="147">
        <v>1</v>
      </c>
      <c r="E121" s="201"/>
      <c r="F121" s="140" t="s">
        <v>223</v>
      </c>
      <c r="G121" s="217" t="s">
        <v>224</v>
      </c>
      <c r="H121" s="217"/>
      <c r="I121" s="217"/>
      <c r="J121" s="217"/>
      <c r="K121" s="141" t="s">
        <v>47</v>
      </c>
      <c r="L121" s="185"/>
      <c r="M121" s="139"/>
      <c r="N121" s="142"/>
      <c r="O121" s="139"/>
      <c r="P121" s="139"/>
      <c r="Q121" s="94"/>
      <c r="R121" s="82"/>
      <c r="S121" s="94"/>
      <c r="T121" s="83"/>
      <c r="U121" s="94"/>
      <c r="V121" s="83"/>
      <c r="W121" s="144"/>
      <c r="X121" s="85"/>
    </row>
    <row r="122" spans="1:24" s="84" customFormat="1" ht="25.15" customHeight="1">
      <c r="A122" s="108"/>
      <c r="B122" s="114">
        <v>111</v>
      </c>
      <c r="C122" s="272"/>
      <c r="D122" s="203">
        <v>1</v>
      </c>
      <c r="E122" s="118">
        <v>495021</v>
      </c>
      <c r="F122" s="119" t="s">
        <v>225</v>
      </c>
      <c r="G122" s="217" t="s">
        <v>226</v>
      </c>
      <c r="H122" s="217"/>
      <c r="I122" s="217"/>
      <c r="J122" s="217"/>
      <c r="K122" s="80" t="s">
        <v>47</v>
      </c>
      <c r="L122" s="89" t="s">
        <v>209</v>
      </c>
      <c r="M122" s="89"/>
      <c r="N122" s="90"/>
      <c r="O122" s="89"/>
      <c r="P122" s="89"/>
      <c r="Q122" s="94">
        <v>326276514</v>
      </c>
      <c r="R122" s="82">
        <v>46327</v>
      </c>
      <c r="S122" s="94"/>
      <c r="T122" s="83"/>
      <c r="U122" s="94" t="s">
        <v>143</v>
      </c>
      <c r="V122" s="83" t="s">
        <v>3</v>
      </c>
      <c r="W122" s="120"/>
      <c r="X122" s="85"/>
    </row>
    <row r="123" spans="1:24" s="84" customFormat="1" ht="25.15" customHeight="1">
      <c r="A123" s="108"/>
      <c r="B123" s="114">
        <v>112</v>
      </c>
      <c r="C123" s="249" t="s">
        <v>227</v>
      </c>
      <c r="D123" s="122">
        <v>90</v>
      </c>
      <c r="E123" s="111">
        <v>495018</v>
      </c>
      <c r="F123" s="111" t="s">
        <v>228</v>
      </c>
      <c r="G123" s="259" t="s">
        <v>229</v>
      </c>
      <c r="H123" s="259"/>
      <c r="I123" s="259"/>
      <c r="J123" s="259"/>
      <c r="K123" s="112" t="s">
        <v>47</v>
      </c>
      <c r="L123" s="93"/>
      <c r="M123" s="93"/>
      <c r="N123" s="86"/>
      <c r="O123" s="260"/>
      <c r="P123" s="260"/>
      <c r="Q123" s="93"/>
      <c r="R123" s="93"/>
      <c r="S123" s="93"/>
      <c r="T123" s="88"/>
      <c r="U123" s="93"/>
      <c r="V123" s="88"/>
      <c r="W123" s="113"/>
      <c r="X123" s="85"/>
    </row>
    <row r="124" spans="1:24" s="84" customFormat="1" ht="25.15" customHeight="1">
      <c r="A124" s="108"/>
      <c r="B124" s="110">
        <v>113</v>
      </c>
      <c r="C124" s="251"/>
      <c r="D124" s="95">
        <v>0</v>
      </c>
      <c r="E124" s="78">
        <v>495019</v>
      </c>
      <c r="F124" s="99" t="s">
        <v>43</v>
      </c>
      <c r="G124" s="215" t="s">
        <v>230</v>
      </c>
      <c r="H124" s="215"/>
      <c r="I124" s="215"/>
      <c r="J124" s="215"/>
      <c r="K124" s="79" t="s">
        <v>43</v>
      </c>
      <c r="L124" s="94" t="s">
        <v>43</v>
      </c>
      <c r="M124" s="94"/>
      <c r="N124" s="81"/>
      <c r="O124" s="218"/>
      <c r="P124" s="218"/>
      <c r="Q124" s="94"/>
      <c r="R124" s="94"/>
      <c r="S124" s="94"/>
      <c r="T124" s="83"/>
      <c r="U124" s="94"/>
      <c r="V124" s="83"/>
      <c r="W124" s="115"/>
      <c r="X124" s="85"/>
    </row>
    <row r="125" spans="1:24" s="84" customFormat="1" ht="22.5" customHeight="1">
      <c r="A125" s="108"/>
      <c r="B125" s="152">
        <v>114</v>
      </c>
      <c r="C125" s="251"/>
      <c r="D125" s="95">
        <v>0</v>
      </c>
      <c r="E125" s="78">
        <v>651724</v>
      </c>
      <c r="F125" s="99" t="s">
        <v>231</v>
      </c>
      <c r="G125" s="215" t="s">
        <v>232</v>
      </c>
      <c r="H125" s="215"/>
      <c r="I125" s="215"/>
      <c r="J125" s="215"/>
      <c r="K125" s="99" t="s">
        <v>65</v>
      </c>
      <c r="L125" s="94" t="s">
        <v>42</v>
      </c>
      <c r="M125" s="94"/>
      <c r="N125" s="81"/>
      <c r="O125" s="218"/>
      <c r="P125" s="218"/>
      <c r="Q125" s="100"/>
      <c r="R125" s="82"/>
      <c r="S125" s="94"/>
      <c r="T125" s="83"/>
      <c r="U125" s="94"/>
      <c r="V125" s="83"/>
      <c r="W125" s="116"/>
      <c r="X125" s="85"/>
    </row>
    <row r="126" spans="1:24" s="84" customFormat="1" ht="25.15" customHeight="1">
      <c r="A126" s="108"/>
      <c r="B126" s="114">
        <v>115</v>
      </c>
      <c r="C126" s="251"/>
      <c r="D126" s="95">
        <v>0</v>
      </c>
      <c r="E126" s="78">
        <v>495026</v>
      </c>
      <c r="F126" s="99" t="s">
        <v>43</v>
      </c>
      <c r="G126" s="215" t="s">
        <v>233</v>
      </c>
      <c r="H126" s="215"/>
      <c r="I126" s="215"/>
      <c r="J126" s="215"/>
      <c r="K126" s="79" t="s">
        <v>43</v>
      </c>
      <c r="L126" s="94" t="s">
        <v>43</v>
      </c>
      <c r="M126" s="94"/>
      <c r="N126" s="81"/>
      <c r="O126" s="218"/>
      <c r="P126" s="218"/>
      <c r="Q126" s="94"/>
      <c r="R126" s="94"/>
      <c r="S126" s="94"/>
      <c r="T126" s="83"/>
      <c r="U126" s="94"/>
      <c r="V126" s="83"/>
      <c r="W126" s="115"/>
      <c r="X126" s="85"/>
    </row>
    <row r="127" spans="1:24" s="84" customFormat="1" ht="25.15" customHeight="1">
      <c r="A127" s="108"/>
      <c r="B127" s="114">
        <v>116</v>
      </c>
      <c r="C127" s="251"/>
      <c r="D127" s="95">
        <v>0</v>
      </c>
      <c r="E127" s="78">
        <v>495047</v>
      </c>
      <c r="F127" s="99" t="s">
        <v>43</v>
      </c>
      <c r="G127" s="255" t="s">
        <v>234</v>
      </c>
      <c r="H127" s="255"/>
      <c r="I127" s="255"/>
      <c r="J127" s="255"/>
      <c r="K127" s="99" t="s">
        <v>43</v>
      </c>
      <c r="L127" s="94" t="s">
        <v>43</v>
      </c>
      <c r="M127" s="94"/>
      <c r="N127" s="81"/>
      <c r="O127" s="218"/>
      <c r="P127" s="218"/>
      <c r="Q127" s="100"/>
      <c r="R127" s="98"/>
      <c r="S127" s="94"/>
      <c r="T127" s="83"/>
      <c r="U127" s="94"/>
      <c r="V127" s="83"/>
      <c r="W127" s="115"/>
      <c r="X127" s="85"/>
    </row>
    <row r="128" spans="1:24" s="84" customFormat="1" ht="23.1" customHeight="1">
      <c r="A128" s="108"/>
      <c r="B128" s="110">
        <v>117</v>
      </c>
      <c r="C128" s="252"/>
      <c r="D128" s="203">
        <v>1</v>
      </c>
      <c r="E128" s="118">
        <v>495048</v>
      </c>
      <c r="F128" s="119" t="s">
        <v>235</v>
      </c>
      <c r="G128" s="217" t="s">
        <v>236</v>
      </c>
      <c r="H128" s="217"/>
      <c r="I128" s="217"/>
      <c r="J128" s="217"/>
      <c r="K128" s="119" t="s">
        <v>47</v>
      </c>
      <c r="L128" s="89" t="s">
        <v>42</v>
      </c>
      <c r="M128" s="89"/>
      <c r="N128" s="90"/>
      <c r="O128" s="258"/>
      <c r="P128" s="258"/>
      <c r="Q128" s="128"/>
      <c r="R128" s="91"/>
      <c r="S128" s="89"/>
      <c r="T128" s="92"/>
      <c r="U128" s="89"/>
      <c r="V128" s="92"/>
      <c r="W128" s="131"/>
      <c r="X128" s="85"/>
    </row>
    <row r="129" spans="1:24" s="84" customFormat="1" ht="31.5" customHeight="1">
      <c r="A129" s="108"/>
      <c r="B129" s="152">
        <v>118</v>
      </c>
      <c r="C129" s="249" t="s">
        <v>237</v>
      </c>
      <c r="D129" s="122">
        <v>4</v>
      </c>
      <c r="E129" s="111">
        <v>495044</v>
      </c>
      <c r="F129" s="207" t="s">
        <v>238</v>
      </c>
      <c r="G129" s="259" t="s">
        <v>239</v>
      </c>
      <c r="H129" s="259"/>
      <c r="I129" s="259"/>
      <c r="J129" s="259"/>
      <c r="K129" s="112" t="s">
        <v>47</v>
      </c>
      <c r="L129" s="145" t="s">
        <v>42</v>
      </c>
      <c r="M129" s="93"/>
      <c r="N129" s="86"/>
      <c r="O129" s="260"/>
      <c r="P129" s="260"/>
      <c r="Q129" s="93"/>
      <c r="R129" s="93"/>
      <c r="S129" s="93"/>
      <c r="T129" s="88"/>
      <c r="U129" s="93"/>
      <c r="V129" s="88"/>
      <c r="W129" s="113"/>
      <c r="X129" s="85"/>
    </row>
    <row r="130" spans="1:24" s="84" customFormat="1" ht="34.5" customHeight="1">
      <c r="A130" s="108"/>
      <c r="B130" s="114">
        <v>119</v>
      </c>
      <c r="C130" s="251"/>
      <c r="D130" s="75">
        <v>3</v>
      </c>
      <c r="E130" s="106">
        <v>495045</v>
      </c>
      <c r="F130" s="208" t="s">
        <v>240</v>
      </c>
      <c r="G130" s="215" t="s">
        <v>241</v>
      </c>
      <c r="H130" s="215"/>
      <c r="I130" s="215"/>
      <c r="J130" s="215"/>
      <c r="K130" s="79" t="s">
        <v>47</v>
      </c>
      <c r="L130" s="133" t="s">
        <v>42</v>
      </c>
      <c r="M130" s="94"/>
      <c r="N130" s="81"/>
      <c r="O130" s="218"/>
      <c r="P130" s="218"/>
      <c r="Q130" s="94"/>
      <c r="R130" s="94"/>
      <c r="S130" s="94"/>
      <c r="T130" s="83"/>
      <c r="U130" s="94"/>
      <c r="V130" s="83"/>
      <c r="W130" s="115"/>
      <c r="X130" s="85"/>
    </row>
    <row r="131" spans="1:24" s="84" customFormat="1" ht="25.15" customHeight="1">
      <c r="A131" s="108"/>
      <c r="B131" s="114">
        <v>120</v>
      </c>
      <c r="C131" s="251"/>
      <c r="D131" s="95">
        <v>1</v>
      </c>
      <c r="E131" s="78">
        <v>495046</v>
      </c>
      <c r="F131" s="99" t="s">
        <v>242</v>
      </c>
      <c r="G131" s="215" t="s">
        <v>243</v>
      </c>
      <c r="H131" s="215"/>
      <c r="I131" s="215"/>
      <c r="J131" s="215"/>
      <c r="K131" s="79" t="s">
        <v>47</v>
      </c>
      <c r="L131" s="94" t="s">
        <v>42</v>
      </c>
      <c r="M131" s="94"/>
      <c r="N131" s="81"/>
      <c r="O131" s="218"/>
      <c r="P131" s="218"/>
      <c r="Q131" s="94"/>
      <c r="R131" s="94"/>
      <c r="S131" s="94"/>
      <c r="T131" s="83"/>
      <c r="U131" s="94"/>
      <c r="V131" s="83"/>
      <c r="W131" s="115"/>
      <c r="X131" s="85"/>
    </row>
    <row r="132" spans="1:24" s="84" customFormat="1" ht="25.15" customHeight="1">
      <c r="A132" s="108"/>
      <c r="B132" s="110">
        <v>121</v>
      </c>
      <c r="C132" s="251"/>
      <c r="D132" s="95">
        <v>1</v>
      </c>
      <c r="E132" s="78">
        <v>497339</v>
      </c>
      <c r="F132" s="99" t="s">
        <v>244</v>
      </c>
      <c r="G132" s="215" t="s">
        <v>245</v>
      </c>
      <c r="H132" s="215"/>
      <c r="I132" s="215"/>
      <c r="J132" s="215"/>
      <c r="K132" s="99" t="s">
        <v>47</v>
      </c>
      <c r="L132" s="94" t="s">
        <v>42</v>
      </c>
      <c r="M132" s="94"/>
      <c r="N132" s="81"/>
      <c r="O132" s="218"/>
      <c r="P132" s="218"/>
      <c r="Q132" s="100"/>
      <c r="R132" s="82"/>
      <c r="S132" s="94"/>
      <c r="T132" s="83"/>
      <c r="U132" s="94"/>
      <c r="V132" s="83"/>
      <c r="W132" s="115"/>
      <c r="X132" s="85"/>
    </row>
    <row r="133" spans="1:24" s="84" customFormat="1" ht="25.15" customHeight="1">
      <c r="A133" s="108"/>
      <c r="B133" s="152">
        <v>122</v>
      </c>
      <c r="C133" s="251"/>
      <c r="D133" s="95">
        <v>1</v>
      </c>
      <c r="E133" s="78">
        <v>497340</v>
      </c>
      <c r="F133" s="99" t="s">
        <v>246</v>
      </c>
      <c r="G133" s="215" t="s">
        <v>247</v>
      </c>
      <c r="H133" s="215"/>
      <c r="I133" s="215"/>
      <c r="J133" s="215"/>
      <c r="K133" s="79" t="s">
        <v>47</v>
      </c>
      <c r="L133" s="94" t="s">
        <v>42</v>
      </c>
      <c r="M133" s="94"/>
      <c r="N133" s="81"/>
      <c r="O133" s="218"/>
      <c r="P133" s="218"/>
      <c r="Q133" s="100"/>
      <c r="R133" s="82"/>
      <c r="S133" s="94"/>
      <c r="T133" s="83"/>
      <c r="U133" s="94"/>
      <c r="V133" s="83"/>
      <c r="W133" s="115"/>
      <c r="X133" s="85"/>
    </row>
    <row r="134" spans="1:24" s="84" customFormat="1" ht="25.15" customHeight="1">
      <c r="A134" s="108"/>
      <c r="B134" s="114">
        <v>123</v>
      </c>
      <c r="C134" s="251"/>
      <c r="D134" s="95">
        <v>2</v>
      </c>
      <c r="E134" s="78">
        <v>497341</v>
      </c>
      <c r="F134" s="99" t="s">
        <v>248</v>
      </c>
      <c r="G134" s="215" t="s">
        <v>249</v>
      </c>
      <c r="H134" s="215"/>
      <c r="I134" s="215"/>
      <c r="J134" s="215"/>
      <c r="K134" s="99" t="s">
        <v>47</v>
      </c>
      <c r="L134" s="133" t="s">
        <v>42</v>
      </c>
      <c r="M134" s="94"/>
      <c r="N134" s="81"/>
      <c r="O134" s="218"/>
      <c r="P134" s="218"/>
      <c r="Q134" s="100"/>
      <c r="R134" s="82"/>
      <c r="S134" s="94"/>
      <c r="T134" s="83"/>
      <c r="U134" s="94"/>
      <c r="V134" s="83"/>
      <c r="W134" s="116"/>
      <c r="X134" s="85"/>
    </row>
    <row r="135" spans="1:24" s="84" customFormat="1" ht="25.15" customHeight="1">
      <c r="A135" s="108"/>
      <c r="B135" s="114">
        <v>127</v>
      </c>
      <c r="C135" s="249" t="s">
        <v>250</v>
      </c>
      <c r="D135" s="122">
        <v>0</v>
      </c>
      <c r="E135" s="111">
        <v>495049</v>
      </c>
      <c r="F135" s="121" t="s">
        <v>43</v>
      </c>
      <c r="G135" s="259" t="s">
        <v>251</v>
      </c>
      <c r="H135" s="259"/>
      <c r="I135" s="259"/>
      <c r="J135" s="259"/>
      <c r="K135" s="112" t="s">
        <v>47</v>
      </c>
      <c r="L135" s="93" t="s">
        <v>43</v>
      </c>
      <c r="M135" s="93"/>
      <c r="N135" s="86"/>
      <c r="O135" s="260"/>
      <c r="P135" s="260"/>
      <c r="Q135" s="93"/>
      <c r="R135" s="87"/>
      <c r="S135" s="93"/>
      <c r="T135" s="88"/>
      <c r="U135" s="93"/>
      <c r="V135" s="88"/>
      <c r="W135" s="113"/>
      <c r="X135" s="85"/>
    </row>
    <row r="136" spans="1:24" s="84" customFormat="1" ht="24.95" customHeight="1">
      <c r="A136" s="108"/>
      <c r="B136" s="114">
        <v>128</v>
      </c>
      <c r="C136" s="251"/>
      <c r="D136" s="95">
        <v>0</v>
      </c>
      <c r="E136" s="78" t="s">
        <v>43</v>
      </c>
      <c r="F136" s="99" t="s">
        <v>252</v>
      </c>
      <c r="G136" s="215" t="s">
        <v>253</v>
      </c>
      <c r="H136" s="215"/>
      <c r="I136" s="215"/>
      <c r="J136" s="215"/>
      <c r="K136" s="79" t="s">
        <v>47</v>
      </c>
      <c r="L136" s="146" t="s">
        <v>254</v>
      </c>
      <c r="M136" s="94"/>
      <c r="N136" s="81"/>
      <c r="O136" s="218"/>
      <c r="P136" s="218"/>
      <c r="Q136" s="94"/>
      <c r="R136" s="82"/>
      <c r="S136" s="94"/>
      <c r="T136" s="83"/>
      <c r="U136" s="94"/>
      <c r="V136" s="83"/>
      <c r="W136" s="115"/>
      <c r="X136" s="85"/>
    </row>
    <row r="137" spans="1:24" s="84" customFormat="1" ht="25.15" customHeight="1">
      <c r="A137" s="108"/>
      <c r="B137" s="110">
        <v>129</v>
      </c>
      <c r="C137" s="251"/>
      <c r="D137" s="95">
        <v>0</v>
      </c>
      <c r="E137" s="78" t="s">
        <v>43</v>
      </c>
      <c r="F137" s="99" t="s">
        <v>255</v>
      </c>
      <c r="G137" s="255" t="s">
        <v>256</v>
      </c>
      <c r="H137" s="255"/>
      <c r="I137" s="255"/>
      <c r="J137" s="255"/>
      <c r="K137" s="99" t="s">
        <v>47</v>
      </c>
      <c r="L137" s="94" t="s">
        <v>42</v>
      </c>
      <c r="M137" s="94"/>
      <c r="N137" s="81"/>
      <c r="O137" s="218"/>
      <c r="P137" s="218"/>
      <c r="Q137" s="94"/>
      <c r="R137" s="94"/>
      <c r="S137" s="94"/>
      <c r="T137" s="83"/>
      <c r="U137" s="94"/>
      <c r="V137" s="83"/>
      <c r="W137" s="115"/>
      <c r="X137" s="85"/>
    </row>
    <row r="138" spans="1:24" s="84" customFormat="1" ht="25.15" customHeight="1">
      <c r="A138" s="108"/>
      <c r="B138" s="152">
        <v>130</v>
      </c>
      <c r="C138" s="251"/>
      <c r="D138" s="95">
        <v>0</v>
      </c>
      <c r="E138" s="78">
        <v>495051</v>
      </c>
      <c r="F138" s="99" t="s">
        <v>257</v>
      </c>
      <c r="G138" s="215" t="s">
        <v>258</v>
      </c>
      <c r="H138" s="215"/>
      <c r="I138" s="215"/>
      <c r="J138" s="215"/>
      <c r="K138" s="79" t="s">
        <v>39</v>
      </c>
      <c r="L138" s="133" t="s">
        <v>42</v>
      </c>
      <c r="M138" s="94"/>
      <c r="N138" s="81"/>
      <c r="O138" s="218"/>
      <c r="P138" s="218"/>
      <c r="Q138" s="94"/>
      <c r="R138" s="94"/>
      <c r="S138" s="94"/>
      <c r="T138" s="83"/>
      <c r="U138" s="94"/>
      <c r="V138" s="83"/>
      <c r="W138" s="115"/>
      <c r="X138" s="85"/>
    </row>
    <row r="139" spans="1:24" s="84" customFormat="1" ht="25.15" customHeight="1">
      <c r="A139" s="108"/>
      <c r="B139" s="114">
        <v>131</v>
      </c>
      <c r="C139" s="251"/>
      <c r="D139" s="95">
        <v>1</v>
      </c>
      <c r="E139" s="78"/>
      <c r="F139" s="99" t="s">
        <v>259</v>
      </c>
      <c r="G139" s="215" t="s">
        <v>260</v>
      </c>
      <c r="H139" s="215"/>
      <c r="I139" s="215"/>
      <c r="J139" s="215"/>
      <c r="K139" s="79" t="s">
        <v>47</v>
      </c>
      <c r="L139" s="133" t="s">
        <v>42</v>
      </c>
      <c r="M139" s="94"/>
      <c r="N139" s="81"/>
      <c r="O139" s="218"/>
      <c r="P139" s="218"/>
      <c r="Q139" s="94"/>
      <c r="R139" s="94"/>
      <c r="S139" s="94"/>
      <c r="T139" s="83"/>
      <c r="U139" s="94"/>
      <c r="V139" s="83"/>
      <c r="W139" s="115"/>
      <c r="X139" s="85"/>
    </row>
    <row r="140" spans="1:24" s="84" customFormat="1" ht="25.15" customHeight="1">
      <c r="A140" s="108"/>
      <c r="B140" s="114">
        <v>132</v>
      </c>
      <c r="C140" s="251"/>
      <c r="D140" s="95">
        <v>0</v>
      </c>
      <c r="E140" s="78">
        <v>495053</v>
      </c>
      <c r="F140" s="99" t="s">
        <v>43</v>
      </c>
      <c r="G140" s="255" t="s">
        <v>261</v>
      </c>
      <c r="H140" s="255"/>
      <c r="I140" s="255"/>
      <c r="J140" s="255"/>
      <c r="K140" s="79" t="s">
        <v>43</v>
      </c>
      <c r="L140" s="94" t="s">
        <v>43</v>
      </c>
      <c r="M140" s="94"/>
      <c r="N140" s="81"/>
      <c r="O140" s="218"/>
      <c r="P140" s="218"/>
      <c r="Q140" s="94"/>
      <c r="R140" s="94"/>
      <c r="S140" s="94"/>
      <c r="T140" s="83"/>
      <c r="U140" s="94"/>
      <c r="V140" s="83"/>
      <c r="W140" s="115"/>
      <c r="X140" s="85"/>
    </row>
    <row r="141" spans="1:24" s="84" customFormat="1" ht="25.15" customHeight="1">
      <c r="A141" s="108"/>
      <c r="B141" s="110">
        <v>133</v>
      </c>
      <c r="C141" s="251"/>
      <c r="D141" s="95">
        <v>0</v>
      </c>
      <c r="E141" s="78">
        <v>495054</v>
      </c>
      <c r="F141" s="99" t="s">
        <v>262</v>
      </c>
      <c r="G141" s="215" t="s">
        <v>263</v>
      </c>
      <c r="H141" s="215"/>
      <c r="I141" s="215"/>
      <c r="J141" s="215"/>
      <c r="K141" s="79" t="s">
        <v>39</v>
      </c>
      <c r="L141" s="94" t="s">
        <v>42</v>
      </c>
      <c r="M141" s="94"/>
      <c r="N141" s="81"/>
      <c r="O141" s="218"/>
      <c r="P141" s="218"/>
      <c r="Q141" s="100"/>
      <c r="R141" s="82"/>
      <c r="S141" s="94"/>
      <c r="T141" s="83"/>
      <c r="U141" s="94"/>
      <c r="V141" s="83"/>
      <c r="W141" s="115"/>
      <c r="X141" s="85"/>
    </row>
    <row r="142" spans="1:24" s="84" customFormat="1" ht="25.15" customHeight="1">
      <c r="A142" s="108"/>
      <c r="B142" s="152">
        <v>134</v>
      </c>
      <c r="C142" s="251"/>
      <c r="D142" s="95">
        <v>0</v>
      </c>
      <c r="E142" s="78">
        <v>495055</v>
      </c>
      <c r="F142" s="99" t="s">
        <v>43</v>
      </c>
      <c r="G142" s="255" t="s">
        <v>264</v>
      </c>
      <c r="H142" s="255"/>
      <c r="I142" s="255"/>
      <c r="J142" s="255"/>
      <c r="K142" s="99" t="s">
        <v>43</v>
      </c>
      <c r="L142" s="94" t="s">
        <v>43</v>
      </c>
      <c r="M142" s="94"/>
      <c r="N142" s="81"/>
      <c r="O142" s="218"/>
      <c r="P142" s="218"/>
      <c r="Q142" s="94"/>
      <c r="R142" s="94"/>
      <c r="S142" s="94"/>
      <c r="T142" s="83"/>
      <c r="U142" s="94"/>
      <c r="V142" s="83"/>
      <c r="W142" s="115"/>
      <c r="X142" s="85"/>
    </row>
    <row r="143" spans="1:24" s="84" customFormat="1" ht="25.15" customHeight="1">
      <c r="A143" s="108"/>
      <c r="B143" s="114">
        <v>135</v>
      </c>
      <c r="C143" s="251"/>
      <c r="D143" s="95">
        <v>0</v>
      </c>
      <c r="E143" s="78">
        <v>495056</v>
      </c>
      <c r="F143" s="99" t="s">
        <v>265</v>
      </c>
      <c r="G143" s="215" t="s">
        <v>266</v>
      </c>
      <c r="H143" s="215"/>
      <c r="I143" s="215"/>
      <c r="J143" s="215"/>
      <c r="K143" s="99" t="s">
        <v>47</v>
      </c>
      <c r="L143" s="133" t="s">
        <v>42</v>
      </c>
      <c r="M143" s="94"/>
      <c r="N143" s="81"/>
      <c r="O143" s="218"/>
      <c r="P143" s="218"/>
      <c r="Q143" s="100"/>
      <c r="R143" s="82"/>
      <c r="S143" s="94"/>
      <c r="T143" s="83"/>
      <c r="U143" s="94"/>
      <c r="V143" s="83"/>
      <c r="W143" s="115"/>
      <c r="X143" s="85"/>
    </row>
    <row r="144" spans="1:24" s="84" customFormat="1" ht="25.15" customHeight="1">
      <c r="A144" s="108"/>
      <c r="B144" s="114">
        <v>136</v>
      </c>
      <c r="C144" s="251"/>
      <c r="D144" s="95">
        <v>0</v>
      </c>
      <c r="E144" s="78" t="s">
        <v>43</v>
      </c>
      <c r="F144" s="133">
        <v>20345</v>
      </c>
      <c r="G144" s="215" t="s">
        <v>267</v>
      </c>
      <c r="H144" s="215"/>
      <c r="I144" s="215"/>
      <c r="J144" s="215"/>
      <c r="K144" s="99" t="s">
        <v>47</v>
      </c>
      <c r="L144" s="133" t="s">
        <v>42</v>
      </c>
      <c r="M144" s="94"/>
      <c r="N144" s="81"/>
      <c r="O144" s="218"/>
      <c r="P144" s="218"/>
      <c r="Q144" s="100"/>
      <c r="R144" s="82"/>
      <c r="S144" s="94"/>
      <c r="T144" s="83"/>
      <c r="U144" s="94"/>
      <c r="V144" s="83"/>
      <c r="W144" s="115"/>
      <c r="X144" s="85"/>
    </row>
    <row r="145" spans="1:24" s="84" customFormat="1" ht="23.65" customHeight="1">
      <c r="A145" s="108"/>
      <c r="B145" s="110">
        <v>137</v>
      </c>
      <c r="C145" s="251"/>
      <c r="D145" s="95">
        <v>0</v>
      </c>
      <c r="E145" s="78" t="s">
        <v>43</v>
      </c>
      <c r="F145" s="158" t="s">
        <v>268</v>
      </c>
      <c r="G145" s="215" t="s">
        <v>269</v>
      </c>
      <c r="H145" s="215"/>
      <c r="I145" s="215"/>
      <c r="J145" s="215"/>
      <c r="K145" s="99" t="s">
        <v>47</v>
      </c>
      <c r="L145" s="133" t="s">
        <v>42</v>
      </c>
      <c r="M145" s="94"/>
      <c r="N145" s="81"/>
      <c r="O145" s="218"/>
      <c r="P145" s="218"/>
      <c r="Q145" s="100"/>
      <c r="R145" s="82"/>
      <c r="S145" s="94"/>
      <c r="T145" s="83"/>
      <c r="U145" s="94"/>
      <c r="V145" s="83"/>
      <c r="W145" s="116"/>
      <c r="X145" s="85"/>
    </row>
    <row r="146" spans="1:24" s="84" customFormat="1" ht="25.15" customHeight="1">
      <c r="A146" s="108"/>
      <c r="B146" s="152">
        <v>138</v>
      </c>
      <c r="C146" s="251"/>
      <c r="D146" s="95">
        <v>0</v>
      </c>
      <c r="E146" s="78" t="s">
        <v>43</v>
      </c>
      <c r="F146" s="99" t="s">
        <v>270</v>
      </c>
      <c r="G146" s="255" t="s">
        <v>271</v>
      </c>
      <c r="H146" s="255"/>
      <c r="I146" s="255"/>
      <c r="J146" s="255"/>
      <c r="K146" s="79" t="s">
        <v>47</v>
      </c>
      <c r="L146" s="94" t="s">
        <v>42</v>
      </c>
      <c r="M146" s="94"/>
      <c r="N146" s="81"/>
      <c r="O146" s="218"/>
      <c r="P146" s="218"/>
      <c r="Q146" s="100"/>
      <c r="R146" s="82"/>
      <c r="S146" s="94"/>
      <c r="T146" s="83"/>
      <c r="U146" s="94"/>
      <c r="V146" s="83"/>
      <c r="W146" s="115"/>
      <c r="X146" s="85"/>
    </row>
    <row r="147" spans="1:24" s="84" customFormat="1" ht="25.15" customHeight="1">
      <c r="A147" s="108"/>
      <c r="B147" s="114">
        <v>139</v>
      </c>
      <c r="C147" s="251"/>
      <c r="D147" s="95">
        <v>0</v>
      </c>
      <c r="E147" s="78">
        <v>495058</v>
      </c>
      <c r="F147" s="99" t="s">
        <v>43</v>
      </c>
      <c r="G147" s="215" t="s">
        <v>272</v>
      </c>
      <c r="H147" s="215"/>
      <c r="I147" s="215"/>
      <c r="J147" s="215"/>
      <c r="K147" s="79" t="s">
        <v>43</v>
      </c>
      <c r="L147" s="94" t="s">
        <v>43</v>
      </c>
      <c r="M147" s="94"/>
      <c r="N147" s="81"/>
      <c r="O147" s="218"/>
      <c r="P147" s="218"/>
      <c r="Q147" s="100"/>
      <c r="R147" s="82"/>
      <c r="S147" s="94"/>
      <c r="T147" s="83"/>
      <c r="U147" s="94"/>
      <c r="V147" s="83"/>
      <c r="W147" s="115"/>
      <c r="X147" s="85"/>
    </row>
    <row r="148" spans="1:24" s="84" customFormat="1" ht="25.15" customHeight="1">
      <c r="A148" s="108"/>
      <c r="B148" s="114">
        <v>140</v>
      </c>
      <c r="C148" s="251"/>
      <c r="D148" s="95">
        <v>0</v>
      </c>
      <c r="E148" s="78">
        <v>495059</v>
      </c>
      <c r="F148" s="99" t="s">
        <v>43</v>
      </c>
      <c r="G148" s="215" t="s">
        <v>273</v>
      </c>
      <c r="H148" s="215"/>
      <c r="I148" s="215"/>
      <c r="J148" s="215"/>
      <c r="K148" s="79" t="s">
        <v>43</v>
      </c>
      <c r="L148" s="94" t="s">
        <v>43</v>
      </c>
      <c r="M148" s="94"/>
      <c r="N148" s="81"/>
      <c r="O148" s="218"/>
      <c r="P148" s="218"/>
      <c r="Q148" s="94"/>
      <c r="R148" s="94"/>
      <c r="S148" s="94"/>
      <c r="T148" s="83"/>
      <c r="U148" s="94"/>
      <c r="V148" s="83"/>
      <c r="W148" s="115"/>
      <c r="X148" s="85"/>
    </row>
    <row r="149" spans="1:24" s="84" customFormat="1" ht="25.15" customHeight="1">
      <c r="A149" s="108"/>
      <c r="B149" s="110">
        <v>141</v>
      </c>
      <c r="C149" s="251"/>
      <c r="D149" s="95">
        <v>0</v>
      </c>
      <c r="E149" s="78" t="s">
        <v>43</v>
      </c>
      <c r="F149" s="99" t="s">
        <v>43</v>
      </c>
      <c r="G149" s="215" t="s">
        <v>274</v>
      </c>
      <c r="H149" s="215"/>
      <c r="I149" s="215"/>
      <c r="J149" s="215"/>
      <c r="K149" s="79" t="s">
        <v>43</v>
      </c>
      <c r="L149" s="94" t="s">
        <v>43</v>
      </c>
      <c r="M149" s="94"/>
      <c r="N149" s="81"/>
      <c r="O149" s="218"/>
      <c r="P149" s="218"/>
      <c r="Q149" s="94"/>
      <c r="R149" s="94"/>
      <c r="S149" s="94"/>
      <c r="T149" s="83"/>
      <c r="U149" s="94"/>
      <c r="V149" s="83"/>
      <c r="W149" s="115"/>
      <c r="X149" s="85"/>
    </row>
    <row r="150" spans="1:24" s="84" customFormat="1" ht="25.15" customHeight="1">
      <c r="A150" s="108"/>
      <c r="B150" s="152">
        <v>142</v>
      </c>
      <c r="C150" s="251"/>
      <c r="D150" s="95">
        <v>0</v>
      </c>
      <c r="E150" s="78">
        <v>495060</v>
      </c>
      <c r="F150" s="99" t="s">
        <v>43</v>
      </c>
      <c r="G150" s="255" t="s">
        <v>275</v>
      </c>
      <c r="H150" s="255"/>
      <c r="I150" s="255"/>
      <c r="J150" s="255"/>
      <c r="K150" s="79" t="s">
        <v>43</v>
      </c>
      <c r="L150" s="94" t="s">
        <v>43</v>
      </c>
      <c r="M150" s="94"/>
      <c r="N150" s="81"/>
      <c r="O150" s="218"/>
      <c r="P150" s="218"/>
      <c r="Q150" s="100"/>
      <c r="R150" s="82"/>
      <c r="S150" s="94"/>
      <c r="T150" s="83"/>
      <c r="U150" s="94"/>
      <c r="V150" s="83"/>
      <c r="W150" s="115"/>
      <c r="X150" s="85"/>
    </row>
    <row r="151" spans="1:24" s="84" customFormat="1" ht="25.15" customHeight="1">
      <c r="A151" s="108"/>
      <c r="B151" s="114">
        <v>143</v>
      </c>
      <c r="C151" s="251"/>
      <c r="D151" s="95">
        <v>0</v>
      </c>
      <c r="E151" s="78">
        <v>495061</v>
      </c>
      <c r="F151" s="99" t="s">
        <v>43</v>
      </c>
      <c r="G151" s="215" t="s">
        <v>276</v>
      </c>
      <c r="H151" s="215"/>
      <c r="I151" s="215"/>
      <c r="J151" s="215"/>
      <c r="K151" s="79" t="s">
        <v>43</v>
      </c>
      <c r="L151" s="94" t="s">
        <v>43</v>
      </c>
      <c r="M151" s="94"/>
      <c r="N151" s="81"/>
      <c r="O151" s="218"/>
      <c r="P151" s="218"/>
      <c r="Q151" s="100"/>
      <c r="R151" s="82"/>
      <c r="S151" s="94"/>
      <c r="T151" s="83"/>
      <c r="U151" s="94"/>
      <c r="V151" s="83"/>
      <c r="W151" s="115"/>
      <c r="X151" s="85"/>
    </row>
    <row r="152" spans="1:24" s="84" customFormat="1" ht="25.15" customHeight="1">
      <c r="A152" s="108"/>
      <c r="B152" s="114">
        <v>144</v>
      </c>
      <c r="C152" s="251"/>
      <c r="D152" s="95">
        <v>0</v>
      </c>
      <c r="E152" s="78" t="s">
        <v>43</v>
      </c>
      <c r="F152" s="99" t="s">
        <v>43</v>
      </c>
      <c r="G152" s="215" t="s">
        <v>277</v>
      </c>
      <c r="H152" s="215"/>
      <c r="I152" s="215"/>
      <c r="J152" s="215"/>
      <c r="K152" s="79" t="s">
        <v>43</v>
      </c>
      <c r="L152" s="94" t="s">
        <v>43</v>
      </c>
      <c r="M152" s="94"/>
      <c r="N152" s="81"/>
      <c r="O152" s="218"/>
      <c r="P152" s="218"/>
      <c r="Q152" s="94"/>
      <c r="R152" s="94"/>
      <c r="S152" s="94"/>
      <c r="T152" s="83"/>
      <c r="U152" s="94"/>
      <c r="V152" s="83"/>
      <c r="W152" s="115"/>
      <c r="X152" s="85"/>
    </row>
    <row r="153" spans="1:24" s="84" customFormat="1" ht="25.15" customHeight="1">
      <c r="A153" s="108"/>
      <c r="B153" s="110">
        <v>145</v>
      </c>
      <c r="C153" s="251"/>
      <c r="D153" s="95">
        <v>0</v>
      </c>
      <c r="E153" s="78">
        <v>495065</v>
      </c>
      <c r="F153" s="99" t="s">
        <v>43</v>
      </c>
      <c r="G153" s="215" t="s">
        <v>278</v>
      </c>
      <c r="H153" s="215"/>
      <c r="I153" s="215"/>
      <c r="J153" s="215"/>
      <c r="K153" s="79" t="s">
        <v>43</v>
      </c>
      <c r="L153" s="94" t="s">
        <v>43</v>
      </c>
      <c r="M153" s="94"/>
      <c r="N153" s="81"/>
      <c r="O153" s="218"/>
      <c r="P153" s="218"/>
      <c r="Q153" s="100"/>
      <c r="R153" s="82"/>
      <c r="S153" s="94"/>
      <c r="T153" s="83"/>
      <c r="U153" s="94"/>
      <c r="V153" s="83"/>
      <c r="W153" s="115"/>
      <c r="X153" s="85"/>
    </row>
    <row r="154" spans="1:24" s="84" customFormat="1" ht="25.15" customHeight="1">
      <c r="A154" s="108"/>
      <c r="B154" s="152">
        <v>146</v>
      </c>
      <c r="C154" s="251"/>
      <c r="D154" s="95">
        <v>0</v>
      </c>
      <c r="E154" s="78">
        <v>495062</v>
      </c>
      <c r="F154" s="99">
        <v>14404</v>
      </c>
      <c r="G154" s="215" t="s">
        <v>279</v>
      </c>
      <c r="H154" s="215"/>
      <c r="I154" s="215"/>
      <c r="J154" s="215"/>
      <c r="K154" s="79" t="s">
        <v>75</v>
      </c>
      <c r="L154" s="94" t="s">
        <v>42</v>
      </c>
      <c r="M154" s="94"/>
      <c r="N154" s="81"/>
      <c r="O154" s="218"/>
      <c r="P154" s="218"/>
      <c r="Q154" s="94"/>
      <c r="R154" s="94"/>
      <c r="S154" s="94"/>
      <c r="T154" s="83"/>
      <c r="U154" s="94"/>
      <c r="V154" s="83"/>
      <c r="W154" s="115"/>
      <c r="X154" s="85"/>
    </row>
    <row r="155" spans="1:24" s="84" customFormat="1" ht="25.15" customHeight="1">
      <c r="A155" s="108"/>
      <c r="B155" s="114">
        <v>147</v>
      </c>
      <c r="C155" s="251"/>
      <c r="D155" s="95">
        <v>0</v>
      </c>
      <c r="E155" s="78">
        <v>495064</v>
      </c>
      <c r="F155" s="99" t="s">
        <v>280</v>
      </c>
      <c r="G155" s="215" t="s">
        <v>281</v>
      </c>
      <c r="H155" s="215"/>
      <c r="I155" s="215"/>
      <c r="J155" s="215"/>
      <c r="K155" s="99" t="s">
        <v>193</v>
      </c>
      <c r="L155" s="94" t="s">
        <v>42</v>
      </c>
      <c r="M155" s="94"/>
      <c r="N155" s="81"/>
      <c r="O155" s="218"/>
      <c r="P155" s="218"/>
      <c r="Q155" s="94"/>
      <c r="R155" s="94"/>
      <c r="S155" s="94"/>
      <c r="T155" s="83"/>
      <c r="U155" s="94"/>
      <c r="V155" s="83"/>
      <c r="W155" s="115"/>
      <c r="X155" s="85"/>
    </row>
    <row r="156" spans="1:24" s="84" customFormat="1" ht="25.15" customHeight="1">
      <c r="A156" s="108"/>
      <c r="B156" s="114">
        <v>148</v>
      </c>
      <c r="C156" s="251"/>
      <c r="D156" s="95">
        <v>0</v>
      </c>
      <c r="E156" s="78">
        <v>495068</v>
      </c>
      <c r="F156" s="79" t="s">
        <v>282</v>
      </c>
      <c r="G156" s="215" t="s">
        <v>283</v>
      </c>
      <c r="H156" s="215"/>
      <c r="I156" s="215"/>
      <c r="J156" s="215"/>
      <c r="K156" s="79" t="s">
        <v>47</v>
      </c>
      <c r="L156" s="133" t="s">
        <v>42</v>
      </c>
      <c r="M156" s="94"/>
      <c r="N156" s="81"/>
      <c r="O156" s="218"/>
      <c r="P156" s="218"/>
      <c r="Q156" s="94"/>
      <c r="R156" s="94"/>
      <c r="S156" s="94"/>
      <c r="T156" s="83"/>
      <c r="U156" s="94"/>
      <c r="V156" s="83"/>
      <c r="W156" s="115"/>
      <c r="X156" s="85"/>
    </row>
    <row r="157" spans="1:24" s="84" customFormat="1" ht="25.15" customHeight="1">
      <c r="A157" s="108"/>
      <c r="B157" s="110">
        <v>149</v>
      </c>
      <c r="C157" s="251"/>
      <c r="D157" s="95">
        <v>0</v>
      </c>
      <c r="E157" s="78">
        <v>495063</v>
      </c>
      <c r="F157" s="99" t="s">
        <v>43</v>
      </c>
      <c r="G157" s="255" t="s">
        <v>284</v>
      </c>
      <c r="H157" s="255"/>
      <c r="I157" s="255"/>
      <c r="J157" s="255"/>
      <c r="K157" s="79" t="s">
        <v>43</v>
      </c>
      <c r="L157" s="94" t="s">
        <v>43</v>
      </c>
      <c r="M157" s="94"/>
      <c r="N157" s="81"/>
      <c r="O157" s="218"/>
      <c r="P157" s="218"/>
      <c r="Q157" s="94"/>
      <c r="R157" s="94"/>
      <c r="S157" s="94"/>
      <c r="T157" s="83"/>
      <c r="U157" s="94"/>
      <c r="V157" s="83"/>
      <c r="W157" s="115"/>
      <c r="X157" s="85"/>
    </row>
    <row r="158" spans="1:24" s="84" customFormat="1" ht="25.15" customHeight="1">
      <c r="A158" s="108"/>
      <c r="B158" s="152">
        <v>150</v>
      </c>
      <c r="C158" s="251"/>
      <c r="D158" s="95">
        <v>0</v>
      </c>
      <c r="E158" s="78">
        <v>495066</v>
      </c>
      <c r="F158" s="99" t="s">
        <v>43</v>
      </c>
      <c r="G158" s="215" t="s">
        <v>285</v>
      </c>
      <c r="H158" s="215"/>
      <c r="I158" s="215"/>
      <c r="J158" s="215"/>
      <c r="K158" s="79" t="s">
        <v>43</v>
      </c>
      <c r="L158" s="94" t="s">
        <v>43</v>
      </c>
      <c r="M158" s="94"/>
      <c r="N158" s="81"/>
      <c r="O158" s="218"/>
      <c r="P158" s="218"/>
      <c r="Q158" s="94"/>
      <c r="R158" s="94"/>
      <c r="S158" s="94"/>
      <c r="T158" s="83"/>
      <c r="U158" s="94"/>
      <c r="V158" s="83"/>
      <c r="W158" s="115"/>
      <c r="X158" s="85"/>
    </row>
    <row r="159" spans="1:24" s="84" customFormat="1" ht="25.15" customHeight="1">
      <c r="A159" s="108"/>
      <c r="B159" s="114">
        <v>151</v>
      </c>
      <c r="C159" s="252"/>
      <c r="D159" s="203">
        <v>0</v>
      </c>
      <c r="E159" s="118">
        <v>495067</v>
      </c>
      <c r="F159" s="119" t="s">
        <v>43</v>
      </c>
      <c r="G159" s="257" t="s">
        <v>286</v>
      </c>
      <c r="H159" s="257"/>
      <c r="I159" s="257"/>
      <c r="J159" s="257"/>
      <c r="K159" s="79" t="s">
        <v>43</v>
      </c>
      <c r="L159" s="89" t="s">
        <v>43</v>
      </c>
      <c r="M159" s="89"/>
      <c r="N159" s="89"/>
      <c r="O159" s="258"/>
      <c r="P159" s="258"/>
      <c r="Q159" s="89"/>
      <c r="R159" s="89"/>
      <c r="S159" s="89"/>
      <c r="T159" s="92"/>
      <c r="U159" s="89"/>
      <c r="V159" s="92"/>
      <c r="W159" s="120"/>
      <c r="X159" s="85"/>
    </row>
    <row r="160" spans="1:24" s="84" customFormat="1" ht="25.15" customHeight="1">
      <c r="A160" s="108"/>
      <c r="B160" s="114">
        <v>152</v>
      </c>
      <c r="C160" s="86"/>
      <c r="D160" s="122">
        <v>1</v>
      </c>
      <c r="E160" s="111">
        <v>495624</v>
      </c>
      <c r="F160" s="121" t="s">
        <v>254</v>
      </c>
      <c r="G160" s="259" t="s">
        <v>287</v>
      </c>
      <c r="H160" s="259"/>
      <c r="I160" s="259"/>
      <c r="J160" s="259"/>
      <c r="K160" s="112" t="s">
        <v>47</v>
      </c>
      <c r="L160" s="93" t="s">
        <v>42</v>
      </c>
      <c r="M160" s="93"/>
      <c r="N160" s="93"/>
      <c r="O160" s="260"/>
      <c r="P160" s="260"/>
      <c r="Q160" s="93"/>
      <c r="R160" s="93"/>
      <c r="S160" s="93"/>
      <c r="T160" s="88"/>
      <c r="U160" s="93"/>
      <c r="V160" s="88"/>
      <c r="W160" s="113"/>
      <c r="X160" s="85"/>
    </row>
    <row r="161" spans="1:24" s="84" customFormat="1" ht="25.15" customHeight="1">
      <c r="A161" s="108"/>
      <c r="B161" s="110">
        <v>153</v>
      </c>
      <c r="C161" s="273" t="s">
        <v>288</v>
      </c>
      <c r="D161" s="95">
        <v>1</v>
      </c>
      <c r="E161" s="99">
        <v>496057</v>
      </c>
      <c r="F161" s="99" t="s">
        <v>289</v>
      </c>
      <c r="G161" s="276" t="s">
        <v>290</v>
      </c>
      <c r="H161" s="276"/>
      <c r="I161" s="276"/>
      <c r="J161" s="276"/>
      <c r="K161" s="99" t="s">
        <v>142</v>
      </c>
      <c r="L161" s="181" t="s">
        <v>42</v>
      </c>
      <c r="M161" s="94"/>
      <c r="N161" s="94"/>
      <c r="O161" s="218"/>
      <c r="P161" s="218"/>
      <c r="Q161" s="94">
        <v>326275425</v>
      </c>
      <c r="R161" s="82">
        <v>46327</v>
      </c>
      <c r="S161" s="94"/>
      <c r="T161" s="83"/>
      <c r="U161" s="94" t="s">
        <v>143</v>
      </c>
      <c r="V161" s="83" t="s">
        <v>3</v>
      </c>
      <c r="W161" s="115"/>
      <c r="X161" s="85"/>
    </row>
    <row r="162" spans="1:24" s="84" customFormat="1" ht="25.15" customHeight="1">
      <c r="A162" s="108"/>
      <c r="B162" s="152">
        <v>154</v>
      </c>
      <c r="C162" s="273"/>
      <c r="D162" s="95">
        <v>0</v>
      </c>
      <c r="E162" s="99">
        <v>495033</v>
      </c>
      <c r="F162" s="99" t="s">
        <v>43</v>
      </c>
      <c r="G162" s="276" t="s">
        <v>291</v>
      </c>
      <c r="H162" s="276"/>
      <c r="I162" s="276"/>
      <c r="J162" s="276"/>
      <c r="K162" s="79" t="s">
        <v>43</v>
      </c>
      <c r="L162" s="94" t="s">
        <v>43</v>
      </c>
      <c r="M162" s="94"/>
      <c r="N162" s="94"/>
      <c r="O162" s="218"/>
      <c r="P162" s="218"/>
      <c r="Q162" s="94"/>
      <c r="R162" s="94"/>
      <c r="S162" s="94"/>
      <c r="T162" s="83"/>
      <c r="U162" s="94"/>
      <c r="V162" s="83"/>
      <c r="W162" s="116"/>
      <c r="X162" s="85"/>
    </row>
    <row r="163" spans="1:24" s="84" customFormat="1" ht="25.15" customHeight="1">
      <c r="A163" s="108"/>
      <c r="B163" s="114">
        <v>155</v>
      </c>
      <c r="C163" s="273"/>
      <c r="D163" s="95">
        <v>0</v>
      </c>
      <c r="E163" s="99" t="s">
        <v>43</v>
      </c>
      <c r="F163" s="99" t="s">
        <v>292</v>
      </c>
      <c r="G163" s="277" t="s">
        <v>293</v>
      </c>
      <c r="H163" s="278"/>
      <c r="I163" s="278"/>
      <c r="J163" s="279"/>
      <c r="K163" s="79" t="s">
        <v>47</v>
      </c>
      <c r="L163" s="94" t="s">
        <v>42</v>
      </c>
      <c r="M163" s="94"/>
      <c r="N163" s="94"/>
      <c r="O163" s="94"/>
      <c r="P163" s="94"/>
      <c r="Q163" s="94"/>
      <c r="R163" s="94"/>
      <c r="S163" s="94"/>
      <c r="T163" s="83"/>
      <c r="U163" s="94"/>
      <c r="V163" s="83"/>
      <c r="W163" s="116"/>
      <c r="X163" s="85"/>
    </row>
    <row r="164" spans="1:24" s="84" customFormat="1" ht="25.15" customHeight="1">
      <c r="A164" s="108"/>
      <c r="B164" s="114">
        <v>156</v>
      </c>
      <c r="C164" s="273"/>
      <c r="D164" s="95">
        <v>0</v>
      </c>
      <c r="E164" s="99" t="s">
        <v>43</v>
      </c>
      <c r="F164" s="99" t="s">
        <v>294</v>
      </c>
      <c r="G164" s="277" t="s">
        <v>295</v>
      </c>
      <c r="H164" s="278"/>
      <c r="I164" s="278"/>
      <c r="J164" s="279"/>
      <c r="K164" s="79" t="s">
        <v>39</v>
      </c>
      <c r="L164" s="94" t="s">
        <v>42</v>
      </c>
      <c r="M164" s="94"/>
      <c r="N164" s="94"/>
      <c r="O164" s="94"/>
      <c r="P164" s="94"/>
      <c r="Q164" s="94"/>
      <c r="R164" s="94"/>
      <c r="S164" s="94"/>
      <c r="T164" s="83"/>
      <c r="U164" s="94"/>
      <c r="V164" s="83"/>
      <c r="W164" s="116"/>
      <c r="X164" s="85"/>
    </row>
    <row r="165" spans="1:24" s="84" customFormat="1" ht="25.15" customHeight="1">
      <c r="A165" s="108"/>
      <c r="B165" s="110">
        <v>157</v>
      </c>
      <c r="C165" s="273"/>
      <c r="D165" s="95">
        <v>1</v>
      </c>
      <c r="E165" s="99" t="s">
        <v>43</v>
      </c>
      <c r="F165" s="99" t="s">
        <v>296</v>
      </c>
      <c r="G165" s="277" t="s">
        <v>297</v>
      </c>
      <c r="H165" s="278"/>
      <c r="I165" s="278"/>
      <c r="J165" s="279"/>
      <c r="K165" s="79" t="s">
        <v>47</v>
      </c>
      <c r="L165" s="94" t="s">
        <v>42</v>
      </c>
      <c r="M165" s="94"/>
      <c r="N165" s="94"/>
      <c r="O165" s="94"/>
      <c r="P165" s="94"/>
      <c r="Q165" s="94">
        <v>326276514</v>
      </c>
      <c r="R165" s="82">
        <v>46327</v>
      </c>
      <c r="S165" s="94"/>
      <c r="T165" s="83"/>
      <c r="U165" s="94" t="s">
        <v>143</v>
      </c>
      <c r="V165" s="83" t="s">
        <v>3</v>
      </c>
      <c r="W165" s="116"/>
      <c r="X165" s="85"/>
    </row>
    <row r="166" spans="1:24" s="84" customFormat="1" ht="25.15" customHeight="1">
      <c r="A166" s="108"/>
      <c r="B166" s="152">
        <v>158</v>
      </c>
      <c r="C166" s="273"/>
      <c r="D166" s="95">
        <v>0</v>
      </c>
      <c r="E166" s="99" t="s">
        <v>43</v>
      </c>
      <c r="F166" s="99" t="s">
        <v>298</v>
      </c>
      <c r="G166" s="277" t="s">
        <v>299</v>
      </c>
      <c r="H166" s="278"/>
      <c r="I166" s="278"/>
      <c r="J166" s="279"/>
      <c r="K166" s="79" t="s">
        <v>39</v>
      </c>
      <c r="L166" s="94" t="s">
        <v>40</v>
      </c>
      <c r="M166" s="94"/>
      <c r="N166" s="94"/>
      <c r="O166" s="94"/>
      <c r="P166" s="94"/>
      <c r="Q166" s="94"/>
      <c r="R166" s="94"/>
      <c r="S166" s="94"/>
      <c r="T166" s="83"/>
      <c r="U166" s="94"/>
      <c r="V166" s="83"/>
      <c r="W166" s="116"/>
      <c r="X166" s="85"/>
    </row>
    <row r="167" spans="1:24" s="84" customFormat="1" ht="25.15" customHeight="1">
      <c r="A167" s="108"/>
      <c r="B167" s="114">
        <v>159</v>
      </c>
      <c r="C167" s="273"/>
      <c r="D167" s="95">
        <v>0</v>
      </c>
      <c r="E167" s="99" t="s">
        <v>43</v>
      </c>
      <c r="F167" s="99" t="s">
        <v>300</v>
      </c>
      <c r="G167" s="277" t="s">
        <v>301</v>
      </c>
      <c r="H167" s="278"/>
      <c r="I167" s="278"/>
      <c r="J167" s="279"/>
      <c r="K167" s="79" t="s">
        <v>39</v>
      </c>
      <c r="L167" s="94" t="s">
        <v>302</v>
      </c>
      <c r="M167" s="94"/>
      <c r="N167" s="94"/>
      <c r="O167" s="94"/>
      <c r="P167" s="94"/>
      <c r="Q167" s="94"/>
      <c r="R167" s="94"/>
      <c r="S167" s="94"/>
      <c r="T167" s="83"/>
      <c r="U167" s="94"/>
      <c r="V167" s="83"/>
      <c r="W167" s="116"/>
      <c r="X167" s="85"/>
    </row>
    <row r="168" spans="1:24" s="84" customFormat="1" ht="25.15" customHeight="1">
      <c r="A168" s="108"/>
      <c r="B168" s="114">
        <v>160</v>
      </c>
      <c r="C168" s="273"/>
      <c r="D168" s="95">
        <v>0</v>
      </c>
      <c r="E168" s="99">
        <v>495069</v>
      </c>
      <c r="F168" s="99" t="s">
        <v>303</v>
      </c>
      <c r="G168" s="216" t="s">
        <v>304</v>
      </c>
      <c r="H168" s="216"/>
      <c r="I168" s="216"/>
      <c r="J168" s="216"/>
      <c r="K168" s="79" t="s">
        <v>39</v>
      </c>
      <c r="L168" s="133" t="s">
        <v>305</v>
      </c>
      <c r="M168" s="94"/>
      <c r="N168" s="94"/>
      <c r="O168" s="218"/>
      <c r="P168" s="218"/>
      <c r="Q168" s="94"/>
      <c r="R168" s="82"/>
      <c r="S168" s="94"/>
      <c r="T168" s="83"/>
      <c r="U168" s="94"/>
      <c r="V168" s="83"/>
      <c r="W168" s="116"/>
      <c r="X168" s="85"/>
    </row>
    <row r="169" spans="1:24" s="84" customFormat="1" ht="36" customHeight="1">
      <c r="A169" s="108"/>
      <c r="B169" s="110">
        <v>161</v>
      </c>
      <c r="C169" s="273"/>
      <c r="D169" s="95">
        <v>3</v>
      </c>
      <c r="E169" s="99">
        <v>515835</v>
      </c>
      <c r="F169" s="97" t="s">
        <v>306</v>
      </c>
      <c r="G169" s="216" t="s">
        <v>181</v>
      </c>
      <c r="H169" s="216"/>
      <c r="I169" s="216"/>
      <c r="J169" s="216"/>
      <c r="K169" s="79" t="s">
        <v>47</v>
      </c>
      <c r="L169" s="181" t="s">
        <v>42</v>
      </c>
      <c r="M169" s="94"/>
      <c r="N169" s="94"/>
      <c r="O169" s="218"/>
      <c r="P169" s="218"/>
      <c r="Q169" s="94">
        <v>326276514</v>
      </c>
      <c r="R169" s="82">
        <v>46327</v>
      </c>
      <c r="S169" s="94"/>
      <c r="T169" s="83"/>
      <c r="U169" s="94" t="s">
        <v>143</v>
      </c>
      <c r="V169" s="83" t="s">
        <v>3</v>
      </c>
      <c r="W169" s="116"/>
      <c r="X169" s="85"/>
    </row>
    <row r="170" spans="1:24" s="84" customFormat="1" ht="36" customHeight="1">
      <c r="A170" s="108"/>
      <c r="B170" s="152">
        <v>162</v>
      </c>
      <c r="C170" s="273"/>
      <c r="D170" s="95">
        <v>4</v>
      </c>
      <c r="E170" s="99"/>
      <c r="F170" s="97" t="s">
        <v>307</v>
      </c>
      <c r="G170" s="216" t="s">
        <v>308</v>
      </c>
      <c r="H170" s="216"/>
      <c r="I170" s="216"/>
      <c r="J170" s="216"/>
      <c r="K170" s="79" t="s">
        <v>47</v>
      </c>
      <c r="L170" s="181"/>
      <c r="M170" s="94"/>
      <c r="N170" s="94"/>
      <c r="O170" s="94"/>
      <c r="P170" s="94"/>
      <c r="Q170" s="94"/>
      <c r="R170" s="82"/>
      <c r="S170" s="94"/>
      <c r="T170" s="83"/>
      <c r="U170" s="94"/>
      <c r="V170" s="83"/>
      <c r="W170" s="116"/>
      <c r="X170" s="85"/>
    </row>
    <row r="171" spans="1:24" s="84" customFormat="1" ht="25.15" customHeight="1">
      <c r="A171" s="108"/>
      <c r="B171" s="114">
        <v>163</v>
      </c>
      <c r="C171" s="273"/>
      <c r="D171" s="95">
        <v>1</v>
      </c>
      <c r="E171" s="99">
        <v>495027</v>
      </c>
      <c r="F171" s="99" t="s">
        <v>309</v>
      </c>
      <c r="G171" s="216" t="s">
        <v>310</v>
      </c>
      <c r="H171" s="216"/>
      <c r="I171" s="216"/>
      <c r="J171" s="216"/>
      <c r="K171" s="79" t="s">
        <v>39</v>
      </c>
      <c r="L171" s="181" t="s">
        <v>42</v>
      </c>
      <c r="M171" s="94"/>
      <c r="N171" s="94"/>
      <c r="O171" s="94"/>
      <c r="P171" s="94"/>
      <c r="Q171" s="94">
        <v>326276514</v>
      </c>
      <c r="R171" s="82">
        <v>46327</v>
      </c>
      <c r="S171" s="94"/>
      <c r="T171" s="83"/>
      <c r="U171" s="94" t="s">
        <v>143</v>
      </c>
      <c r="V171" s="83" t="s">
        <v>3</v>
      </c>
      <c r="W171" s="116"/>
      <c r="X171" s="85"/>
    </row>
    <row r="172" spans="1:24" s="84" customFormat="1" ht="25.15" customHeight="1">
      <c r="A172" s="108"/>
      <c r="B172" s="114">
        <v>164</v>
      </c>
      <c r="C172" s="273"/>
      <c r="D172" s="95">
        <v>0</v>
      </c>
      <c r="E172" s="99" t="s">
        <v>43</v>
      </c>
      <c r="F172" s="99" t="s">
        <v>43</v>
      </c>
      <c r="G172" s="216" t="s">
        <v>311</v>
      </c>
      <c r="H172" s="216"/>
      <c r="I172" s="216"/>
      <c r="J172" s="216"/>
      <c r="K172" s="79" t="s">
        <v>43</v>
      </c>
      <c r="L172" s="133" t="s">
        <v>43</v>
      </c>
      <c r="M172" s="94"/>
      <c r="N172" s="94"/>
      <c r="O172" s="94"/>
      <c r="P172" s="94"/>
      <c r="Q172" s="94"/>
      <c r="R172" s="82"/>
      <c r="S172" s="94"/>
      <c r="T172" s="83"/>
      <c r="U172" s="94"/>
      <c r="V172" s="83"/>
      <c r="W172" s="116"/>
      <c r="X172" s="85"/>
    </row>
    <row r="173" spans="1:24" s="84" customFormat="1" ht="25.15" customHeight="1">
      <c r="A173" s="108"/>
      <c r="B173" s="110">
        <v>165</v>
      </c>
      <c r="C173" s="273"/>
      <c r="D173" s="95">
        <v>0</v>
      </c>
      <c r="E173" s="99" t="s">
        <v>43</v>
      </c>
      <c r="F173" s="99" t="s">
        <v>312</v>
      </c>
      <c r="G173" s="216" t="s">
        <v>313</v>
      </c>
      <c r="H173" s="216"/>
      <c r="I173" s="216"/>
      <c r="J173" s="216"/>
      <c r="K173" s="79" t="s">
        <v>193</v>
      </c>
      <c r="L173" s="133" t="s">
        <v>42</v>
      </c>
      <c r="M173" s="94"/>
      <c r="N173" s="94"/>
      <c r="O173" s="94"/>
      <c r="P173" s="94"/>
      <c r="Q173" s="94"/>
      <c r="R173" s="82"/>
      <c r="S173" s="94"/>
      <c r="T173" s="83"/>
      <c r="U173" s="94"/>
      <c r="V173" s="83"/>
      <c r="W173" s="116"/>
      <c r="X173" s="85"/>
    </row>
    <row r="174" spans="1:24" s="84" customFormat="1" ht="24.6" customHeight="1">
      <c r="A174" s="108"/>
      <c r="B174" s="152">
        <v>166</v>
      </c>
      <c r="C174" s="273"/>
      <c r="D174" s="95">
        <v>0</v>
      </c>
      <c r="E174" s="99" t="s">
        <v>43</v>
      </c>
      <c r="F174" s="99" t="s">
        <v>314</v>
      </c>
      <c r="G174" s="216" t="s">
        <v>315</v>
      </c>
      <c r="H174" s="216"/>
      <c r="I174" s="216"/>
      <c r="J174" s="216"/>
      <c r="K174" s="79" t="s">
        <v>193</v>
      </c>
      <c r="L174" s="133" t="s">
        <v>42</v>
      </c>
      <c r="M174" s="94"/>
      <c r="N174" s="94"/>
      <c r="O174" s="94"/>
      <c r="P174" s="94"/>
      <c r="Q174" s="100"/>
      <c r="R174" s="82"/>
      <c r="S174" s="94"/>
      <c r="T174" s="83"/>
      <c r="U174" s="94"/>
      <c r="V174" s="83"/>
      <c r="W174" s="116"/>
      <c r="X174" s="85"/>
    </row>
    <row r="175" spans="1:24" s="84" customFormat="1" ht="25.15" customHeight="1">
      <c r="A175" s="108"/>
      <c r="B175" s="114">
        <v>167</v>
      </c>
      <c r="C175" s="273"/>
      <c r="D175" s="95">
        <v>0</v>
      </c>
      <c r="E175" s="99">
        <v>495080</v>
      </c>
      <c r="F175" s="99" t="s">
        <v>316</v>
      </c>
      <c r="G175" s="216" t="s">
        <v>317</v>
      </c>
      <c r="H175" s="216"/>
      <c r="I175" s="216"/>
      <c r="J175" s="216"/>
      <c r="K175" s="79" t="s">
        <v>65</v>
      </c>
      <c r="L175" s="101" t="s">
        <v>42</v>
      </c>
      <c r="M175" s="94"/>
      <c r="N175" s="94"/>
      <c r="O175" s="94"/>
      <c r="P175" s="107"/>
      <c r="Q175" s="100"/>
      <c r="R175" s="82"/>
      <c r="S175" s="82"/>
      <c r="T175" s="83"/>
      <c r="U175" s="94"/>
      <c r="V175" s="83"/>
      <c r="W175" s="116"/>
      <c r="X175" s="85"/>
    </row>
    <row r="176" spans="1:24" s="84" customFormat="1" ht="25.15" customHeight="1">
      <c r="A176" s="108"/>
      <c r="B176" s="114">
        <v>168</v>
      </c>
      <c r="C176" s="273"/>
      <c r="D176" s="95">
        <v>1</v>
      </c>
      <c r="E176" s="99" t="s">
        <v>318</v>
      </c>
      <c r="F176" s="99" t="s">
        <v>319</v>
      </c>
      <c r="G176" s="212" t="s">
        <v>320</v>
      </c>
      <c r="H176" s="213"/>
      <c r="I176" s="213"/>
      <c r="J176" s="214"/>
      <c r="K176" s="79" t="s">
        <v>47</v>
      </c>
      <c r="L176" s="101" t="s">
        <v>43</v>
      </c>
      <c r="M176" s="94"/>
      <c r="N176" s="94"/>
      <c r="O176" s="94"/>
      <c r="P176" s="107"/>
      <c r="Q176" s="100"/>
      <c r="R176" s="82"/>
      <c r="S176" s="82"/>
      <c r="T176" s="83"/>
      <c r="U176" s="94"/>
      <c r="V176" s="83"/>
      <c r="W176" s="116"/>
      <c r="X176" s="85"/>
    </row>
    <row r="177" spans="1:24" s="84" customFormat="1" ht="25.15" customHeight="1">
      <c r="A177" s="108"/>
      <c r="B177" s="110">
        <v>169</v>
      </c>
      <c r="C177" s="273"/>
      <c r="D177" s="95">
        <v>0</v>
      </c>
      <c r="E177" s="102">
        <v>616095</v>
      </c>
      <c r="F177" s="102" t="s">
        <v>321</v>
      </c>
      <c r="G177" s="219" t="s">
        <v>322</v>
      </c>
      <c r="H177" s="219"/>
      <c r="I177" s="219"/>
      <c r="J177" s="219"/>
      <c r="K177" s="104" t="s">
        <v>75</v>
      </c>
      <c r="L177" s="133" t="s">
        <v>108</v>
      </c>
      <c r="M177" s="94"/>
      <c r="N177" s="94"/>
      <c r="O177" s="94"/>
      <c r="P177" s="94"/>
      <c r="Q177" s="100"/>
      <c r="R177" s="82"/>
      <c r="S177" s="94"/>
      <c r="T177" s="83"/>
      <c r="U177" s="94"/>
      <c r="V177" s="83"/>
      <c r="W177" s="116" t="s">
        <v>68</v>
      </c>
      <c r="X177" s="85"/>
    </row>
    <row r="178" spans="1:24" s="84" customFormat="1" ht="25.15" customHeight="1">
      <c r="A178" s="108"/>
      <c r="B178" s="152">
        <v>170</v>
      </c>
      <c r="C178" s="273"/>
      <c r="D178" s="95">
        <v>1</v>
      </c>
      <c r="E178" s="102">
        <v>495087</v>
      </c>
      <c r="F178" s="102" t="s">
        <v>323</v>
      </c>
      <c r="G178" s="219" t="s">
        <v>324</v>
      </c>
      <c r="H178" s="219"/>
      <c r="I178" s="219"/>
      <c r="J178" s="219"/>
      <c r="K178" s="104" t="s">
        <v>47</v>
      </c>
      <c r="L178" s="133" t="s">
        <v>42</v>
      </c>
      <c r="M178" s="94"/>
      <c r="N178" s="94"/>
      <c r="O178" s="94"/>
      <c r="P178" s="94"/>
      <c r="Q178" s="100"/>
      <c r="R178" s="82"/>
      <c r="S178" s="94"/>
      <c r="T178" s="83"/>
      <c r="U178" s="94"/>
      <c r="V178" s="83"/>
      <c r="W178" s="116"/>
      <c r="X178" s="85"/>
    </row>
    <row r="179" spans="1:24" s="84" customFormat="1" ht="31.5" customHeight="1">
      <c r="A179" s="108"/>
      <c r="B179" s="114">
        <v>171</v>
      </c>
      <c r="C179" s="273"/>
      <c r="D179" s="95">
        <v>0</v>
      </c>
      <c r="E179" s="102">
        <v>505091</v>
      </c>
      <c r="F179" s="102" t="s">
        <v>325</v>
      </c>
      <c r="G179" s="219" t="s">
        <v>326</v>
      </c>
      <c r="H179" s="219"/>
      <c r="I179" s="219"/>
      <c r="J179" s="219"/>
      <c r="K179" s="104" t="s">
        <v>47</v>
      </c>
      <c r="L179" s="94" t="s">
        <v>108</v>
      </c>
      <c r="M179" s="94"/>
      <c r="N179" s="94"/>
      <c r="O179" s="82"/>
      <c r="P179" s="94"/>
      <c r="Q179" s="100"/>
      <c r="R179" s="82"/>
      <c r="S179" s="94"/>
      <c r="T179" s="83"/>
      <c r="U179" s="94"/>
      <c r="V179" s="83"/>
      <c r="W179" s="116" t="s">
        <v>68</v>
      </c>
      <c r="X179" s="85"/>
    </row>
    <row r="180" spans="1:24" s="84" customFormat="1" ht="25.15" customHeight="1">
      <c r="A180" s="108"/>
      <c r="B180" s="114">
        <v>172</v>
      </c>
      <c r="C180" s="273"/>
      <c r="D180" s="95">
        <v>0</v>
      </c>
      <c r="E180" s="99">
        <v>495079</v>
      </c>
      <c r="F180" s="99" t="s">
        <v>327</v>
      </c>
      <c r="G180" s="216" t="s">
        <v>328</v>
      </c>
      <c r="H180" s="216"/>
      <c r="I180" s="216"/>
      <c r="J180" s="216"/>
      <c r="K180" s="79" t="s">
        <v>75</v>
      </c>
      <c r="L180" s="94" t="s">
        <v>42</v>
      </c>
      <c r="M180" s="94"/>
      <c r="N180" s="94"/>
      <c r="O180" s="94"/>
      <c r="P180" s="94"/>
      <c r="Q180" s="94"/>
      <c r="R180" s="82"/>
      <c r="S180" s="94"/>
      <c r="T180" s="83"/>
      <c r="U180" s="94"/>
      <c r="V180" s="83"/>
      <c r="W180" s="116"/>
      <c r="X180" s="85"/>
    </row>
    <row r="181" spans="1:24" s="84" customFormat="1" ht="25.15" customHeight="1">
      <c r="A181" s="108"/>
      <c r="B181" s="110">
        <v>173</v>
      </c>
      <c r="C181" s="273"/>
      <c r="D181" s="95">
        <v>1</v>
      </c>
      <c r="E181" s="99">
        <v>574076</v>
      </c>
      <c r="F181" s="99" t="s">
        <v>329</v>
      </c>
      <c r="G181" s="216" t="s">
        <v>330</v>
      </c>
      <c r="H181" s="216"/>
      <c r="I181" s="216"/>
      <c r="J181" s="216"/>
      <c r="K181" s="99" t="s">
        <v>47</v>
      </c>
      <c r="L181" s="181" t="s">
        <v>42</v>
      </c>
      <c r="M181" s="94"/>
      <c r="N181" s="94"/>
      <c r="O181" s="94"/>
      <c r="P181" s="94"/>
      <c r="Q181" s="94"/>
      <c r="R181" s="94"/>
      <c r="S181" s="94"/>
      <c r="T181" s="83"/>
      <c r="U181" s="94"/>
      <c r="V181" s="83"/>
      <c r="W181" s="116"/>
      <c r="X181" s="85"/>
    </row>
    <row r="182" spans="1:24" s="84" customFormat="1" ht="25.15" customHeight="1">
      <c r="A182" s="108"/>
      <c r="B182" s="152">
        <v>174</v>
      </c>
      <c r="C182" s="273"/>
      <c r="D182" s="95">
        <v>1</v>
      </c>
      <c r="E182" s="99">
        <v>523443</v>
      </c>
      <c r="F182" s="99" t="s">
        <v>331</v>
      </c>
      <c r="G182" s="216" t="s">
        <v>332</v>
      </c>
      <c r="H182" s="216"/>
      <c r="I182" s="216"/>
      <c r="J182" s="216"/>
      <c r="K182" s="79" t="s">
        <v>47</v>
      </c>
      <c r="L182" s="94" t="s">
        <v>43</v>
      </c>
      <c r="M182" s="94"/>
      <c r="N182" s="101"/>
      <c r="O182" s="94"/>
      <c r="P182" s="94"/>
      <c r="Q182" s="94"/>
      <c r="R182" s="82"/>
      <c r="S182" s="94"/>
      <c r="T182" s="83"/>
      <c r="U182" s="94"/>
      <c r="V182" s="83"/>
      <c r="W182" s="116"/>
      <c r="X182" s="85"/>
    </row>
    <row r="183" spans="1:24" s="84" customFormat="1" ht="25.15" customHeight="1">
      <c r="A183" s="108"/>
      <c r="B183" s="114">
        <v>175</v>
      </c>
      <c r="C183" s="273"/>
      <c r="D183" s="95">
        <v>1</v>
      </c>
      <c r="E183" s="99" t="s">
        <v>43</v>
      </c>
      <c r="F183" s="99" t="s">
        <v>333</v>
      </c>
      <c r="G183" s="216" t="s">
        <v>334</v>
      </c>
      <c r="H183" s="216"/>
      <c r="I183" s="216"/>
      <c r="J183" s="216"/>
      <c r="K183" s="99" t="s">
        <v>39</v>
      </c>
      <c r="L183" s="94" t="s">
        <v>335</v>
      </c>
      <c r="M183" s="94"/>
      <c r="N183" s="101"/>
      <c r="O183" s="94"/>
      <c r="P183" s="94"/>
      <c r="Q183" s="94">
        <v>326275460</v>
      </c>
      <c r="R183" s="82">
        <v>46327</v>
      </c>
      <c r="S183" s="94"/>
      <c r="T183" s="83"/>
      <c r="U183" s="94" t="s">
        <v>143</v>
      </c>
      <c r="V183" s="83" t="s">
        <v>3</v>
      </c>
      <c r="W183" s="116"/>
      <c r="X183" s="85"/>
    </row>
    <row r="184" spans="1:24" s="84" customFormat="1" ht="25.15" customHeight="1">
      <c r="A184" s="108"/>
      <c r="B184" s="114">
        <v>176</v>
      </c>
      <c r="C184" s="273"/>
      <c r="D184" s="95">
        <v>1</v>
      </c>
      <c r="E184" s="99" t="s">
        <v>43</v>
      </c>
      <c r="F184" s="176" t="s">
        <v>336</v>
      </c>
      <c r="G184" s="216" t="s">
        <v>334</v>
      </c>
      <c r="H184" s="216"/>
      <c r="I184" s="216"/>
      <c r="J184" s="216"/>
      <c r="K184" s="99" t="s">
        <v>39</v>
      </c>
      <c r="L184" s="133" t="s">
        <v>42</v>
      </c>
      <c r="M184" s="94"/>
      <c r="N184" s="94"/>
      <c r="O184" s="94"/>
      <c r="P184" s="94"/>
      <c r="Q184" s="94">
        <v>326275461</v>
      </c>
      <c r="R184" s="82">
        <v>46327</v>
      </c>
      <c r="S184" s="94"/>
      <c r="T184" s="83"/>
      <c r="U184" s="94" t="s">
        <v>143</v>
      </c>
      <c r="V184" s="83" t="s">
        <v>3</v>
      </c>
      <c r="W184" s="116"/>
      <c r="X184" s="85"/>
    </row>
    <row r="185" spans="1:24" s="84" customFormat="1" ht="25.15" customHeight="1">
      <c r="A185" s="108"/>
      <c r="B185" s="110">
        <v>177</v>
      </c>
      <c r="C185" s="273"/>
      <c r="D185" s="95">
        <v>3</v>
      </c>
      <c r="E185" s="99" t="s">
        <v>43</v>
      </c>
      <c r="F185" s="99" t="s">
        <v>43</v>
      </c>
      <c r="G185" s="216" t="s">
        <v>337</v>
      </c>
      <c r="H185" s="216"/>
      <c r="I185" s="216"/>
      <c r="J185" s="216"/>
      <c r="K185" s="79" t="s">
        <v>65</v>
      </c>
      <c r="L185" s="94" t="s">
        <v>42</v>
      </c>
      <c r="M185" s="94"/>
      <c r="N185" s="94"/>
      <c r="O185" s="94"/>
      <c r="P185" s="94"/>
      <c r="Q185" s="94">
        <v>326276514</v>
      </c>
      <c r="R185" s="82">
        <v>46327</v>
      </c>
      <c r="S185" s="94"/>
      <c r="T185" s="83"/>
      <c r="U185" s="94" t="s">
        <v>143</v>
      </c>
      <c r="V185" s="83" t="s">
        <v>3</v>
      </c>
      <c r="W185" s="116"/>
      <c r="X185" s="85"/>
    </row>
    <row r="186" spans="1:24" s="84" customFormat="1" ht="25.15" customHeight="1">
      <c r="A186" s="108"/>
      <c r="B186" s="152">
        <v>178</v>
      </c>
      <c r="C186" s="273"/>
      <c r="D186" s="95">
        <v>0</v>
      </c>
      <c r="E186" s="99" t="s">
        <v>43</v>
      </c>
      <c r="F186" s="99" t="s">
        <v>338</v>
      </c>
      <c r="G186" s="216" t="s">
        <v>339</v>
      </c>
      <c r="H186" s="216"/>
      <c r="I186" s="216"/>
      <c r="J186" s="216"/>
      <c r="K186" s="79" t="s">
        <v>65</v>
      </c>
      <c r="L186" s="133" t="s">
        <v>42</v>
      </c>
      <c r="M186" s="94"/>
      <c r="N186" s="101"/>
      <c r="O186" s="94"/>
      <c r="P186" s="94"/>
      <c r="Q186" s="94"/>
      <c r="R186" s="82"/>
      <c r="S186" s="94"/>
      <c r="T186" s="83"/>
      <c r="U186" s="94"/>
      <c r="V186" s="83"/>
      <c r="W186" s="116"/>
      <c r="X186" s="85"/>
    </row>
    <row r="187" spans="1:24" s="84" customFormat="1" ht="25.15" customHeight="1">
      <c r="A187" s="108"/>
      <c r="B187" s="114">
        <v>179</v>
      </c>
      <c r="C187" s="273"/>
      <c r="D187" s="95">
        <v>0</v>
      </c>
      <c r="E187" s="99" t="s">
        <v>43</v>
      </c>
      <c r="F187" s="99" t="s">
        <v>43</v>
      </c>
      <c r="G187" s="216" t="s">
        <v>340</v>
      </c>
      <c r="H187" s="216"/>
      <c r="I187" s="216"/>
      <c r="J187" s="216"/>
      <c r="K187" s="79" t="s">
        <v>193</v>
      </c>
      <c r="L187" s="133" t="s">
        <v>42</v>
      </c>
      <c r="M187" s="94"/>
      <c r="N187" s="101"/>
      <c r="O187" s="94"/>
      <c r="P187" s="94"/>
      <c r="Q187" s="94"/>
      <c r="R187" s="82"/>
      <c r="S187" s="94"/>
      <c r="T187" s="83"/>
      <c r="U187" s="94"/>
      <c r="V187" s="83"/>
      <c r="W187" s="116"/>
      <c r="X187" s="85"/>
    </row>
    <row r="188" spans="1:24" s="84" customFormat="1" ht="25.15" customHeight="1">
      <c r="A188" s="108"/>
      <c r="B188" s="114">
        <v>180</v>
      </c>
      <c r="C188" s="273"/>
      <c r="D188" s="95">
        <v>0</v>
      </c>
      <c r="E188" s="99" t="s">
        <v>43</v>
      </c>
      <c r="F188" s="99" t="s">
        <v>43</v>
      </c>
      <c r="G188" s="216" t="s">
        <v>341</v>
      </c>
      <c r="H188" s="216"/>
      <c r="I188" s="216"/>
      <c r="J188" s="216"/>
      <c r="K188" s="79" t="s">
        <v>193</v>
      </c>
      <c r="L188" s="94" t="s">
        <v>42</v>
      </c>
      <c r="M188" s="94"/>
      <c r="N188" s="101"/>
      <c r="O188" s="94"/>
      <c r="P188" s="94"/>
      <c r="Q188" s="94"/>
      <c r="R188" s="82"/>
      <c r="S188" s="94"/>
      <c r="T188" s="83"/>
      <c r="U188" s="94"/>
      <c r="V188" s="83"/>
      <c r="W188" s="116"/>
      <c r="X188" s="85"/>
    </row>
    <row r="189" spans="1:24" s="84" customFormat="1" ht="25.15" customHeight="1">
      <c r="A189" s="108"/>
      <c r="B189" s="110">
        <v>181</v>
      </c>
      <c r="C189" s="274"/>
      <c r="D189" s="95">
        <v>0</v>
      </c>
      <c r="E189" s="99" t="s">
        <v>43</v>
      </c>
      <c r="F189" s="99" t="s">
        <v>342</v>
      </c>
      <c r="G189" s="216" t="s">
        <v>343</v>
      </c>
      <c r="H189" s="216"/>
      <c r="I189" s="216"/>
      <c r="J189" s="216"/>
      <c r="K189" s="79" t="s">
        <v>193</v>
      </c>
      <c r="L189" s="94" t="s">
        <v>42</v>
      </c>
      <c r="M189" s="94"/>
      <c r="N189" s="101"/>
      <c r="O189" s="94"/>
      <c r="P189" s="94"/>
      <c r="Q189" s="94"/>
      <c r="R189" s="82"/>
      <c r="S189" s="94"/>
      <c r="T189" s="83"/>
      <c r="U189" s="94"/>
      <c r="V189" s="83"/>
      <c r="W189" s="116"/>
      <c r="X189" s="85"/>
    </row>
    <row r="190" spans="1:24" s="84" customFormat="1" ht="25.15" customHeight="1">
      <c r="A190" s="108"/>
      <c r="B190" s="152">
        <v>182</v>
      </c>
      <c r="C190" s="274"/>
      <c r="D190" s="95">
        <v>0</v>
      </c>
      <c r="E190" s="99" t="s">
        <v>43</v>
      </c>
      <c r="F190" s="99" t="s">
        <v>344</v>
      </c>
      <c r="G190" s="216" t="s">
        <v>345</v>
      </c>
      <c r="H190" s="216"/>
      <c r="I190" s="216"/>
      <c r="J190" s="216"/>
      <c r="K190" s="99" t="s">
        <v>39</v>
      </c>
      <c r="L190" s="133" t="s">
        <v>42</v>
      </c>
      <c r="M190" s="94"/>
      <c r="N190" s="94"/>
      <c r="O190" s="218"/>
      <c r="P190" s="218"/>
      <c r="Q190" s="94"/>
      <c r="R190" s="94"/>
      <c r="S190" s="94"/>
      <c r="T190" s="83"/>
      <c r="U190" s="94"/>
      <c r="V190" s="94"/>
      <c r="W190" s="116"/>
      <c r="X190" s="85"/>
    </row>
    <row r="191" spans="1:24" s="84" customFormat="1" ht="25.15" customHeight="1">
      <c r="A191" s="108"/>
      <c r="B191" s="114">
        <v>183</v>
      </c>
      <c r="C191" s="275"/>
      <c r="D191" s="205">
        <v>0</v>
      </c>
      <c r="E191" s="178" t="s">
        <v>43</v>
      </c>
      <c r="F191" s="178" t="s">
        <v>43</v>
      </c>
      <c r="G191" s="209" t="s">
        <v>346</v>
      </c>
      <c r="H191" s="209"/>
      <c r="I191" s="209"/>
      <c r="J191" s="209"/>
      <c r="K191" s="178" t="s">
        <v>193</v>
      </c>
      <c r="L191" s="182" t="s">
        <v>42</v>
      </c>
      <c r="M191" s="177"/>
      <c r="N191" s="177"/>
      <c r="O191" s="210"/>
      <c r="P191" s="210"/>
      <c r="Q191" s="177"/>
      <c r="R191" s="177"/>
      <c r="S191" s="177"/>
      <c r="T191" s="179"/>
      <c r="U191" s="177"/>
      <c r="V191" s="177"/>
      <c r="W191" s="180"/>
      <c r="X191" s="85"/>
    </row>
    <row r="192" spans="1:24" ht="15.75">
      <c r="A192" s="108"/>
      <c r="B192" s="114">
        <v>184</v>
      </c>
      <c r="C192" s="194"/>
      <c r="D192" s="205">
        <v>1</v>
      </c>
      <c r="E192" s="178" t="s">
        <v>43</v>
      </c>
      <c r="F192" s="178" t="s">
        <v>43</v>
      </c>
      <c r="G192" s="209" t="s">
        <v>347</v>
      </c>
      <c r="H192" s="209"/>
      <c r="I192" s="209"/>
      <c r="J192" s="209"/>
      <c r="K192" s="178" t="s">
        <v>47</v>
      </c>
      <c r="L192" s="182" t="s">
        <v>42</v>
      </c>
      <c r="M192" s="177"/>
      <c r="N192" s="177"/>
      <c r="O192" s="210"/>
      <c r="P192" s="210"/>
      <c r="Q192" s="177"/>
      <c r="R192" s="177"/>
      <c r="S192" s="177"/>
      <c r="T192" s="179"/>
      <c r="U192" s="177"/>
      <c r="V192" s="177"/>
      <c r="W192" s="180"/>
      <c r="X192" s="85"/>
    </row>
    <row r="193" spans="1:24" ht="15.75">
      <c r="A193" s="108"/>
      <c r="B193" s="110">
        <v>185</v>
      </c>
      <c r="C193" s="194"/>
      <c r="D193" s="205">
        <v>1</v>
      </c>
      <c r="E193" s="178" t="s">
        <v>43</v>
      </c>
      <c r="F193" s="178" t="s">
        <v>348</v>
      </c>
      <c r="G193" s="209" t="s">
        <v>349</v>
      </c>
      <c r="H193" s="209"/>
      <c r="I193" s="209"/>
      <c r="J193" s="209"/>
      <c r="K193" s="178" t="s">
        <v>47</v>
      </c>
      <c r="L193" s="182" t="s">
        <v>42</v>
      </c>
      <c r="M193" s="177"/>
      <c r="N193" s="177"/>
      <c r="O193" s="210"/>
      <c r="P193" s="210"/>
      <c r="Q193" s="177"/>
      <c r="R193" s="177"/>
      <c r="S193" s="177"/>
      <c r="T193" s="179"/>
      <c r="U193" s="177"/>
      <c r="V193" s="177"/>
      <c r="W193" s="180"/>
      <c r="X193" s="85"/>
    </row>
    <row r="194" spans="1:24" ht="15.75">
      <c r="A194" s="108"/>
      <c r="B194" s="152">
        <v>186</v>
      </c>
      <c r="C194" s="194"/>
      <c r="D194" s="205">
        <v>1</v>
      </c>
      <c r="E194" s="178" t="s">
        <v>43</v>
      </c>
      <c r="F194" s="178" t="s">
        <v>350</v>
      </c>
      <c r="G194" s="209" t="s">
        <v>351</v>
      </c>
      <c r="H194" s="209"/>
      <c r="I194" s="209"/>
      <c r="J194" s="209"/>
      <c r="K194" s="178" t="s">
        <v>47</v>
      </c>
      <c r="L194" s="182" t="s">
        <v>42</v>
      </c>
      <c r="M194" s="177"/>
      <c r="N194" s="177"/>
      <c r="O194" s="210"/>
      <c r="P194" s="210"/>
      <c r="Q194" s="177"/>
      <c r="R194" s="177"/>
      <c r="S194" s="177"/>
      <c r="T194" s="179"/>
      <c r="U194" s="177"/>
      <c r="V194" s="177"/>
      <c r="W194" s="180"/>
      <c r="X194" s="85"/>
    </row>
    <row r="195" spans="1:24" ht="15.75">
      <c r="A195" s="108"/>
      <c r="B195" s="114">
        <v>187</v>
      </c>
      <c r="C195" s="194"/>
      <c r="D195" s="205">
        <v>1</v>
      </c>
      <c r="E195" s="178" t="s">
        <v>43</v>
      </c>
      <c r="F195" s="178" t="s">
        <v>352</v>
      </c>
      <c r="G195" s="209" t="s">
        <v>353</v>
      </c>
      <c r="H195" s="209"/>
      <c r="I195" s="209"/>
      <c r="J195" s="209"/>
      <c r="K195" s="178" t="s">
        <v>47</v>
      </c>
      <c r="L195" s="182" t="s">
        <v>42</v>
      </c>
      <c r="M195" s="177"/>
      <c r="N195" s="177"/>
      <c r="O195" s="210"/>
      <c r="P195" s="210"/>
      <c r="Q195" s="177"/>
      <c r="R195" s="177"/>
      <c r="S195" s="177"/>
      <c r="T195" s="179"/>
      <c r="U195" s="177"/>
      <c r="V195" s="177"/>
      <c r="W195" s="180"/>
      <c r="X195" s="85"/>
    </row>
    <row r="196" spans="1:24" ht="15.75" customHeight="1">
      <c r="A196" s="108"/>
      <c r="B196" s="114">
        <v>188</v>
      </c>
      <c r="C196" s="194"/>
      <c r="D196" s="205">
        <v>1</v>
      </c>
      <c r="E196" s="178" t="s">
        <v>43</v>
      </c>
      <c r="F196" s="178" t="s">
        <v>354</v>
      </c>
      <c r="G196" s="209" t="s">
        <v>355</v>
      </c>
      <c r="H196" s="209"/>
      <c r="I196" s="209"/>
      <c r="J196" s="209"/>
      <c r="K196" s="178" t="s">
        <v>47</v>
      </c>
      <c r="L196" s="182" t="s">
        <v>42</v>
      </c>
      <c r="M196" s="177"/>
      <c r="N196" s="177"/>
      <c r="O196" s="210"/>
      <c r="P196" s="210"/>
      <c r="Q196" s="177"/>
      <c r="R196" s="177"/>
      <c r="S196" s="177"/>
      <c r="T196" s="179"/>
      <c r="U196" s="177"/>
      <c r="V196" s="177"/>
      <c r="W196" s="180"/>
      <c r="X196" s="85"/>
    </row>
    <row r="197" spans="1:24" ht="14.65" customHeight="1">
      <c r="B197" s="110">
        <v>189</v>
      </c>
      <c r="C197" s="194"/>
      <c r="D197" s="205">
        <v>1</v>
      </c>
      <c r="E197" s="178" t="s">
        <v>43</v>
      </c>
      <c r="F197" s="178" t="s">
        <v>43</v>
      </c>
      <c r="G197" s="209" t="s">
        <v>356</v>
      </c>
      <c r="H197" s="209"/>
      <c r="I197" s="209"/>
      <c r="J197" s="209"/>
      <c r="K197" s="178" t="s">
        <v>47</v>
      </c>
      <c r="L197" s="182" t="s">
        <v>42</v>
      </c>
      <c r="M197" s="177"/>
      <c r="N197" s="177"/>
      <c r="O197" s="210"/>
      <c r="P197" s="210"/>
      <c r="Q197" s="177"/>
      <c r="R197" s="177"/>
      <c r="S197" s="177"/>
      <c r="T197" s="179"/>
      <c r="U197" s="177"/>
      <c r="V197" s="177"/>
      <c r="W197" s="180"/>
    </row>
    <row r="198" spans="1:24" ht="14.65" customHeight="1"/>
    <row r="199" spans="1:24" ht="14.65" customHeight="1"/>
    <row r="200" spans="1:24" ht="14.65" customHeight="1"/>
    <row r="201" spans="1:24" ht="14.65" customHeight="1"/>
    <row r="202" spans="1:24" ht="14.65" customHeight="1"/>
    <row r="203" spans="1:24" ht="14.65" customHeight="1"/>
    <row r="204" spans="1:24" ht="14.65" customHeight="1"/>
    <row r="205" spans="1:24" ht="14.65" customHeight="1"/>
    <row r="206" spans="1:24" ht="14.65" customHeight="1"/>
    <row r="207" spans="1:24" ht="14.65" customHeight="1"/>
    <row r="208" spans="1:24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  <row r="218" ht="14.65" customHeight="1"/>
    <row r="219" ht="14.65" customHeight="1"/>
    <row r="220" ht="14.65" customHeight="1"/>
    <row r="221" ht="14.65" customHeight="1"/>
    <row r="222" ht="14.65" customHeight="1"/>
    <row r="223" ht="14.65" customHeight="1"/>
    <row r="224" ht="14.65" customHeight="1"/>
    <row r="225" ht="14.65" customHeight="1"/>
    <row r="226" ht="14.65" customHeight="1"/>
    <row r="227" ht="14.65" customHeight="1"/>
    <row r="228" ht="14.65" customHeight="1"/>
    <row r="229" ht="14.65" customHeight="1"/>
    <row r="230" ht="14.65" customHeight="1"/>
    <row r="231" ht="14.65" customHeight="1"/>
  </sheetData>
  <autoFilter ref="A11:X197" xr:uid="{00000000-0009-0000-0000-000000000000}">
    <filterColumn colId="6" showButton="0"/>
    <filterColumn colId="7" showButton="0"/>
    <filterColumn colId="8" showButton="0"/>
    <filterColumn colId="14" showButton="0"/>
  </autoFilter>
  <mergeCells count="361">
    <mergeCell ref="G13:J13"/>
    <mergeCell ref="O13:P13"/>
    <mergeCell ref="G17:J17"/>
    <mergeCell ref="O17:P17"/>
    <mergeCell ref="G167:J167"/>
    <mergeCell ref="G189:J189"/>
    <mergeCell ref="G190:J190"/>
    <mergeCell ref="O190:P190"/>
    <mergeCell ref="G15:J15"/>
    <mergeCell ref="G110:J110"/>
    <mergeCell ref="G64:J64"/>
    <mergeCell ref="G65:J65"/>
    <mergeCell ref="G165:J165"/>
    <mergeCell ref="G164:J164"/>
    <mergeCell ref="G163:J163"/>
    <mergeCell ref="G109:J109"/>
    <mergeCell ref="G101:J101"/>
    <mergeCell ref="G39:J39"/>
    <mergeCell ref="G37:J37"/>
    <mergeCell ref="G28:J28"/>
    <mergeCell ref="G20:J20"/>
    <mergeCell ref="G100:J100"/>
    <mergeCell ref="O152:P152"/>
    <mergeCell ref="G172:J172"/>
    <mergeCell ref="C104:C109"/>
    <mergeCell ref="G105:J105"/>
    <mergeCell ref="C112:C122"/>
    <mergeCell ref="G118:J118"/>
    <mergeCell ref="G122:J122"/>
    <mergeCell ref="G184:J184"/>
    <mergeCell ref="G185:J185"/>
    <mergeCell ref="C161:C191"/>
    <mergeCell ref="G161:J161"/>
    <mergeCell ref="G156:J156"/>
    <mergeCell ref="G153:J153"/>
    <mergeCell ref="G147:J147"/>
    <mergeCell ref="C123:C128"/>
    <mergeCell ref="G123:J123"/>
    <mergeCell ref="G126:J126"/>
    <mergeCell ref="G191:J191"/>
    <mergeCell ref="G171:J171"/>
    <mergeCell ref="G150:J150"/>
    <mergeCell ref="G134:J134"/>
    <mergeCell ref="G108:J108"/>
    <mergeCell ref="G136:J136"/>
    <mergeCell ref="G166:J166"/>
    <mergeCell ref="G162:J162"/>
    <mergeCell ref="G138:J138"/>
    <mergeCell ref="O191:P191"/>
    <mergeCell ref="G183:J183"/>
    <mergeCell ref="G179:J179"/>
    <mergeCell ref="G180:J180"/>
    <mergeCell ref="G181:J181"/>
    <mergeCell ref="G182:J182"/>
    <mergeCell ref="G173:J173"/>
    <mergeCell ref="G174:J174"/>
    <mergeCell ref="G175:J175"/>
    <mergeCell ref="G177:J177"/>
    <mergeCell ref="G178:J178"/>
    <mergeCell ref="G188:J188"/>
    <mergeCell ref="G186:J186"/>
    <mergeCell ref="O162:P162"/>
    <mergeCell ref="G169:J169"/>
    <mergeCell ref="O169:P169"/>
    <mergeCell ref="G159:J159"/>
    <mergeCell ref="O159:P159"/>
    <mergeCell ref="G160:J160"/>
    <mergeCell ref="O160:P160"/>
    <mergeCell ref="O161:P161"/>
    <mergeCell ref="G168:J168"/>
    <mergeCell ref="O168:P168"/>
    <mergeCell ref="O154:P154"/>
    <mergeCell ref="G155:J155"/>
    <mergeCell ref="O155:P155"/>
    <mergeCell ref="O153:P153"/>
    <mergeCell ref="G154:J154"/>
    <mergeCell ref="O156:P156"/>
    <mergeCell ref="G157:J157"/>
    <mergeCell ref="O157:P157"/>
    <mergeCell ref="G158:J158"/>
    <mergeCell ref="O158:P158"/>
    <mergeCell ref="G139:J139"/>
    <mergeCell ref="O139:P139"/>
    <mergeCell ref="G140:J140"/>
    <mergeCell ref="O140:P140"/>
    <mergeCell ref="O147:P147"/>
    <mergeCell ref="G148:J148"/>
    <mergeCell ref="O148:P148"/>
    <mergeCell ref="O150:P150"/>
    <mergeCell ref="O149:P149"/>
    <mergeCell ref="G144:J144"/>
    <mergeCell ref="O144:P144"/>
    <mergeCell ref="G145:J145"/>
    <mergeCell ref="O145:P145"/>
    <mergeCell ref="G146:J146"/>
    <mergeCell ref="O146:P146"/>
    <mergeCell ref="G142:J142"/>
    <mergeCell ref="O142:P142"/>
    <mergeCell ref="G143:J143"/>
    <mergeCell ref="G151:J151"/>
    <mergeCell ref="O151:P151"/>
    <mergeCell ref="G152:J152"/>
    <mergeCell ref="O134:P134"/>
    <mergeCell ref="C135:C159"/>
    <mergeCell ref="G135:J135"/>
    <mergeCell ref="O135:P135"/>
    <mergeCell ref="G137:J137"/>
    <mergeCell ref="O137:P137"/>
    <mergeCell ref="C129:C134"/>
    <mergeCell ref="G129:J129"/>
    <mergeCell ref="O129:P129"/>
    <mergeCell ref="G130:J130"/>
    <mergeCell ref="O130:P130"/>
    <mergeCell ref="G131:J131"/>
    <mergeCell ref="O131:P131"/>
    <mergeCell ref="G132:J132"/>
    <mergeCell ref="O132:P132"/>
    <mergeCell ref="G133:J133"/>
    <mergeCell ref="G141:J141"/>
    <mergeCell ref="O141:P141"/>
    <mergeCell ref="O143:P143"/>
    <mergeCell ref="G149:J149"/>
    <mergeCell ref="O138:P138"/>
    <mergeCell ref="O113:P113"/>
    <mergeCell ref="G115:J115"/>
    <mergeCell ref="O115:P115"/>
    <mergeCell ref="O125:P125"/>
    <mergeCell ref="O116:P116"/>
    <mergeCell ref="G117:J117"/>
    <mergeCell ref="O117:P117"/>
    <mergeCell ref="O133:P133"/>
    <mergeCell ref="O126:P126"/>
    <mergeCell ref="G127:J127"/>
    <mergeCell ref="O127:P127"/>
    <mergeCell ref="G128:J128"/>
    <mergeCell ref="O128:P128"/>
    <mergeCell ref="G116:J116"/>
    <mergeCell ref="O123:P123"/>
    <mergeCell ref="G124:J124"/>
    <mergeCell ref="O124:P124"/>
    <mergeCell ref="G125:J125"/>
    <mergeCell ref="G113:J113"/>
    <mergeCell ref="O101:P101"/>
    <mergeCell ref="G103:J103"/>
    <mergeCell ref="O103:P103"/>
    <mergeCell ref="G104:J104"/>
    <mergeCell ref="O104:P104"/>
    <mergeCell ref="G106:J106"/>
    <mergeCell ref="O106:P106"/>
    <mergeCell ref="G107:J107"/>
    <mergeCell ref="O107:P107"/>
    <mergeCell ref="G102:J102"/>
    <mergeCell ref="O108:P108"/>
    <mergeCell ref="G112:J112"/>
    <mergeCell ref="O112:P112"/>
    <mergeCell ref="C80:C103"/>
    <mergeCell ref="G97:J97"/>
    <mergeCell ref="O97:P97"/>
    <mergeCell ref="G98:J98"/>
    <mergeCell ref="O98:P98"/>
    <mergeCell ref="G99:J99"/>
    <mergeCell ref="O99:P99"/>
    <mergeCell ref="G94:J94"/>
    <mergeCell ref="O94:P94"/>
    <mergeCell ref="G95:J95"/>
    <mergeCell ref="O95:P95"/>
    <mergeCell ref="G96:J96"/>
    <mergeCell ref="O96:P96"/>
    <mergeCell ref="G91:J91"/>
    <mergeCell ref="O91:P91"/>
    <mergeCell ref="G92:J92"/>
    <mergeCell ref="O92:P92"/>
    <mergeCell ref="G93:J93"/>
    <mergeCell ref="O93:P93"/>
    <mergeCell ref="G88:J88"/>
    <mergeCell ref="G89:J89"/>
    <mergeCell ref="O89:P89"/>
    <mergeCell ref="G90:J90"/>
    <mergeCell ref="O90:P90"/>
    <mergeCell ref="O83:P83"/>
    <mergeCell ref="G84:J84"/>
    <mergeCell ref="O84:P84"/>
    <mergeCell ref="G85:J85"/>
    <mergeCell ref="O85:P85"/>
    <mergeCell ref="G86:J86"/>
    <mergeCell ref="O86:P86"/>
    <mergeCell ref="O78:P78"/>
    <mergeCell ref="G79:J79"/>
    <mergeCell ref="O79:P79"/>
    <mergeCell ref="G80:J80"/>
    <mergeCell ref="O80:P80"/>
    <mergeCell ref="G82:J82"/>
    <mergeCell ref="O82:P82"/>
    <mergeCell ref="G83:J83"/>
    <mergeCell ref="O88:P88"/>
    <mergeCell ref="G81:J81"/>
    <mergeCell ref="G87:J87"/>
    <mergeCell ref="C67:C79"/>
    <mergeCell ref="G67:J67"/>
    <mergeCell ref="O67:P67"/>
    <mergeCell ref="G68:J68"/>
    <mergeCell ref="O68:P68"/>
    <mergeCell ref="G69:J69"/>
    <mergeCell ref="O69:P69"/>
    <mergeCell ref="G70:J70"/>
    <mergeCell ref="O70:P70"/>
    <mergeCell ref="G71:J71"/>
    <mergeCell ref="G75:J75"/>
    <mergeCell ref="O75:P75"/>
    <mergeCell ref="G76:J76"/>
    <mergeCell ref="O76:P76"/>
    <mergeCell ref="G77:J77"/>
    <mergeCell ref="O77:P77"/>
    <mergeCell ref="O71:P71"/>
    <mergeCell ref="G72:J72"/>
    <mergeCell ref="O72:P72"/>
    <mergeCell ref="G73:J73"/>
    <mergeCell ref="O73:P73"/>
    <mergeCell ref="G74:J74"/>
    <mergeCell ref="O74:P74"/>
    <mergeCell ref="G78:J78"/>
    <mergeCell ref="C58:C66"/>
    <mergeCell ref="G58:J58"/>
    <mergeCell ref="O58:P58"/>
    <mergeCell ref="G59:J59"/>
    <mergeCell ref="O59:P59"/>
    <mergeCell ref="G60:J60"/>
    <mergeCell ref="O60:P60"/>
    <mergeCell ref="G61:J61"/>
    <mergeCell ref="G54:J54"/>
    <mergeCell ref="O54:P54"/>
    <mergeCell ref="G55:J55"/>
    <mergeCell ref="O55:P55"/>
    <mergeCell ref="G56:J56"/>
    <mergeCell ref="O56:P56"/>
    <mergeCell ref="O61:P61"/>
    <mergeCell ref="G62:J62"/>
    <mergeCell ref="O62:P62"/>
    <mergeCell ref="G63:J63"/>
    <mergeCell ref="O63:P63"/>
    <mergeCell ref="G66:J66"/>
    <mergeCell ref="O66:P66"/>
    <mergeCell ref="G57:J57"/>
    <mergeCell ref="O57:P57"/>
    <mergeCell ref="O39:P39"/>
    <mergeCell ref="G44:J44"/>
    <mergeCell ref="O44:P44"/>
    <mergeCell ref="C45:C57"/>
    <mergeCell ref="G45:J45"/>
    <mergeCell ref="O45:P45"/>
    <mergeCell ref="G46:J46"/>
    <mergeCell ref="O46:P46"/>
    <mergeCell ref="G47:J47"/>
    <mergeCell ref="C32:C44"/>
    <mergeCell ref="G51:J51"/>
    <mergeCell ref="O51:P51"/>
    <mergeCell ref="G52:J52"/>
    <mergeCell ref="O52:P52"/>
    <mergeCell ref="G53:J53"/>
    <mergeCell ref="O53:P53"/>
    <mergeCell ref="O47:P47"/>
    <mergeCell ref="G48:J48"/>
    <mergeCell ref="O48:P48"/>
    <mergeCell ref="G50:J50"/>
    <mergeCell ref="O50:P50"/>
    <mergeCell ref="O35:P35"/>
    <mergeCell ref="G36:J36"/>
    <mergeCell ref="O36:P36"/>
    <mergeCell ref="O37:P37"/>
    <mergeCell ref="G38:J38"/>
    <mergeCell ref="O38:P38"/>
    <mergeCell ref="G31:J31"/>
    <mergeCell ref="O31:P31"/>
    <mergeCell ref="G32:J32"/>
    <mergeCell ref="O32:P32"/>
    <mergeCell ref="G33:J33"/>
    <mergeCell ref="O33:P33"/>
    <mergeCell ref="G34:J34"/>
    <mergeCell ref="O34:P34"/>
    <mergeCell ref="G35:J35"/>
    <mergeCell ref="G30:J30"/>
    <mergeCell ref="O30:P30"/>
    <mergeCell ref="G24:J24"/>
    <mergeCell ref="O24:P24"/>
    <mergeCell ref="G25:J25"/>
    <mergeCell ref="O25:P25"/>
    <mergeCell ref="G26:J26"/>
    <mergeCell ref="O26:P26"/>
    <mergeCell ref="G29:J29"/>
    <mergeCell ref="U5:V5"/>
    <mergeCell ref="F8:W8"/>
    <mergeCell ref="B9:W9"/>
    <mergeCell ref="B10:W10"/>
    <mergeCell ref="G11:J11"/>
    <mergeCell ref="O11:P11"/>
    <mergeCell ref="C12:C31"/>
    <mergeCell ref="G12:J12"/>
    <mergeCell ref="O12:P12"/>
    <mergeCell ref="G14:J14"/>
    <mergeCell ref="O14:P14"/>
    <mergeCell ref="G19:J19"/>
    <mergeCell ref="O19:P19"/>
    <mergeCell ref="G21:J21"/>
    <mergeCell ref="O21:P21"/>
    <mergeCell ref="G22:J22"/>
    <mergeCell ref="O22:P22"/>
    <mergeCell ref="G16:J16"/>
    <mergeCell ref="O16:P16"/>
    <mergeCell ref="G18:J18"/>
    <mergeCell ref="O18:P18"/>
    <mergeCell ref="G27:J27"/>
    <mergeCell ref="O27:P27"/>
    <mergeCell ref="O28:P28"/>
    <mergeCell ref="G49:J49"/>
    <mergeCell ref="G187:J187"/>
    <mergeCell ref="G111:J111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  <mergeCell ref="S5:T5"/>
    <mergeCell ref="G197:J197"/>
    <mergeCell ref="O197:P197"/>
    <mergeCell ref="G193:J193"/>
    <mergeCell ref="O193:P193"/>
    <mergeCell ref="G194:J194"/>
    <mergeCell ref="O194:P194"/>
    <mergeCell ref="G23:J23"/>
    <mergeCell ref="G176:J176"/>
    <mergeCell ref="G195:J195"/>
    <mergeCell ref="O195:P195"/>
    <mergeCell ref="G196:J196"/>
    <mergeCell ref="O196:P196"/>
    <mergeCell ref="G40:J40"/>
    <mergeCell ref="G41:J41"/>
    <mergeCell ref="G42:J42"/>
    <mergeCell ref="G43:J43"/>
    <mergeCell ref="G170:J170"/>
    <mergeCell ref="G119:J119"/>
    <mergeCell ref="G120:J120"/>
    <mergeCell ref="G121:J121"/>
    <mergeCell ref="G114:J114"/>
    <mergeCell ref="G192:J192"/>
    <mergeCell ref="O192:P192"/>
    <mergeCell ref="O136:P136"/>
  </mergeCells>
  <conditionalFormatting sqref="D16:E16 D123:E123 M135:T135 D112:F122 D187:F187 D188:G188 L30:U47 M137:T137 D50:K63 G137:J162 M48:U48 G15 K15 G16:K16 D12:W12 D110:G110 K110 Q175:T179 D66:K80 D64:G65 K64:K65 D137 F137 K20 D81:F81 D87:F87 D103:K109 D100:F100 D102:F102 L14:W16 G14:K14 D14:F15 L18:T25 U18:U27 G18:K19 U137:W164 L138:T164 G163:G166 D138:F166 K137:K166 D168:F174 D175:G175 K175:K188 M186:T187 U186:W188 L75:T80 V18:W46 V47:V48 W47:W49 L50:W66 U175:W182 D18:F48 K100:P100 R100:T100 K102:P102 R102:W102 U88:W101 K87:P87 R87:W87 U68:W72 L68:T68 L67:P67 R67:W67 D82:W85 K81:W81 U74:W80 R73:W73 L165:W166 K168:W170 D111:W111 L103:W110 W185 L112:W122 M86:W86 D86:J86 D177:G186 D176:F176 D191:G196 G21:K48 K191:K197 U191:U197 D88:T99 D101:T101 D124:F135 L123:T134 U123:W135 G112:K135">
    <cfRule type="expression" dxfId="89" priority="55">
      <formula>$D12=0</formula>
    </cfRule>
  </conditionalFormatting>
  <conditionalFormatting sqref="G168:G174">
    <cfRule type="expression" dxfId="88" priority="54">
      <formula>$D168=0</formula>
    </cfRule>
  </conditionalFormatting>
  <conditionalFormatting sqref="K171:P171 L173:W174 W171">
    <cfRule type="expression" dxfId="87" priority="78">
      <formula>#REF!=0</formula>
    </cfRule>
  </conditionalFormatting>
  <conditionalFormatting sqref="L70:R72 L74:R74 L73:P73">
    <cfRule type="expression" dxfId="86" priority="70">
      <formula>$D70=0</formula>
    </cfRule>
  </conditionalFormatting>
  <conditionalFormatting sqref="L185:P185 L188:T188">
    <cfRule type="expression" dxfId="85" priority="72">
      <formula>$D185=0</formula>
    </cfRule>
  </conditionalFormatting>
  <conditionalFormatting sqref="L184:P184 W184">
    <cfRule type="expression" dxfId="84" priority="79">
      <formula>$D174=0</formula>
    </cfRule>
  </conditionalFormatting>
  <conditionalFormatting sqref="M26:T27">
    <cfRule type="expression" dxfId="83" priority="74">
      <formula>$D26=0</formula>
    </cfRule>
  </conditionalFormatting>
  <conditionalFormatting sqref="L26:L29 M28:U29 L69:Q69 R69:T70 S71:T72 L191:W191 S74:T74">
    <cfRule type="expression" dxfId="82" priority="75">
      <formula>$D26=0</formula>
    </cfRule>
  </conditionalFormatting>
  <conditionalFormatting sqref="L172:W172 L175:O176 L177:P179 L180:T182">
    <cfRule type="expression" dxfId="81" priority="65">
      <formula>$D172=0</formula>
    </cfRule>
  </conditionalFormatting>
  <conditionalFormatting sqref="F16">
    <cfRule type="expression" dxfId="80" priority="53">
      <formula>$D16=0</formula>
    </cfRule>
  </conditionalFormatting>
  <conditionalFormatting sqref="F123">
    <cfRule type="expression" dxfId="79" priority="52">
      <formula>$D123=0</formula>
    </cfRule>
  </conditionalFormatting>
  <conditionalFormatting sqref="K172">
    <cfRule type="expression" dxfId="78" priority="51">
      <formula>$D172=0</formula>
    </cfRule>
  </conditionalFormatting>
  <conditionalFormatting sqref="K173">
    <cfRule type="expression" dxfId="77" priority="50">
      <formula>$D173=0</formula>
    </cfRule>
  </conditionalFormatting>
  <conditionalFormatting sqref="K174">
    <cfRule type="expression" dxfId="76" priority="49">
      <formula>$D174=0</formula>
    </cfRule>
  </conditionalFormatting>
  <conditionalFormatting sqref="G187">
    <cfRule type="expression" dxfId="75" priority="44">
      <formula>$D187=0</formula>
    </cfRule>
  </conditionalFormatting>
  <conditionalFormatting sqref="M136:W136 D136:K136">
    <cfRule type="expression" dxfId="74" priority="43">
      <formula>$D136=0</formula>
    </cfRule>
  </conditionalFormatting>
  <conditionalFormatting sqref="U49:V49 D49:G49">
    <cfRule type="expression" dxfId="73" priority="41">
      <formula>$D49=0</formula>
    </cfRule>
  </conditionalFormatting>
  <conditionalFormatting sqref="L49:T49">
    <cfRule type="expression" dxfId="72" priority="42">
      <formula>$D49=0</formula>
    </cfRule>
  </conditionalFormatting>
  <conditionalFormatting sqref="W183">
    <cfRule type="expression" dxfId="71" priority="39">
      <formula>$D183=0</formula>
    </cfRule>
  </conditionalFormatting>
  <conditionalFormatting sqref="L183:P183">
    <cfRule type="expression" dxfId="70" priority="40">
      <formula>$D183=0</formula>
    </cfRule>
  </conditionalFormatting>
  <conditionalFormatting sqref="L186:L187">
    <cfRule type="expression" dxfId="69" priority="798">
      <formula>#REF!=0</formula>
    </cfRule>
  </conditionalFormatting>
  <conditionalFormatting sqref="L48">
    <cfRule type="expression" dxfId="68" priority="37">
      <formula>$D48=0</formula>
    </cfRule>
  </conditionalFormatting>
  <conditionalFormatting sqref="K49">
    <cfRule type="expression" dxfId="67" priority="36">
      <formula>$D49=0</formula>
    </cfRule>
  </conditionalFormatting>
  <conditionalFormatting sqref="E137">
    <cfRule type="expression" dxfId="66" priority="35">
      <formula>$D137=0</formula>
    </cfRule>
  </conditionalFormatting>
  <conditionalFormatting sqref="G81:J81">
    <cfRule type="expression" dxfId="65" priority="33">
      <formula>$D81=0</formula>
    </cfRule>
  </conditionalFormatting>
  <conditionalFormatting sqref="G87:J87">
    <cfRule type="expression" dxfId="64" priority="32">
      <formula>$D87=0</formula>
    </cfRule>
  </conditionalFormatting>
  <conditionalFormatting sqref="G20:J20">
    <cfRule type="expression" dxfId="63" priority="31">
      <formula>$D20=0</formula>
    </cfRule>
  </conditionalFormatting>
  <conditionalFormatting sqref="G100:J100">
    <cfRule type="expression" dxfId="62" priority="30">
      <formula>$D100=0</formula>
    </cfRule>
  </conditionalFormatting>
  <conditionalFormatting sqref="G102:J102">
    <cfRule type="expression" dxfId="61" priority="29">
      <formula>$D102=0</formula>
    </cfRule>
  </conditionalFormatting>
  <conditionalFormatting sqref="D13:W13">
    <cfRule type="expression" dxfId="60" priority="28">
      <formula>$D13=0</formula>
    </cfRule>
  </conditionalFormatting>
  <conditionalFormatting sqref="D17:E17 G17:W17">
    <cfRule type="expression" dxfId="59" priority="27">
      <formula>$D17=0</formula>
    </cfRule>
  </conditionalFormatting>
  <conditionalFormatting sqref="F17">
    <cfRule type="expression" dxfId="58" priority="26">
      <formula>$D17=0</formula>
    </cfRule>
  </conditionalFormatting>
  <conditionalFormatting sqref="D167:G167 K167:W167">
    <cfRule type="expression" dxfId="57" priority="24">
      <formula>$D167=0</formula>
    </cfRule>
  </conditionalFormatting>
  <conditionalFormatting sqref="D189:G189 K189">
    <cfRule type="expression" dxfId="56" priority="21">
      <formula>$D189=0</formula>
    </cfRule>
  </conditionalFormatting>
  <conditionalFormatting sqref="L189:T189">
    <cfRule type="expression" dxfId="55" priority="23">
      <formula>$D189=0</formula>
    </cfRule>
  </conditionalFormatting>
  <conditionalFormatting sqref="U189:W189">
    <cfRule type="expression" dxfId="54" priority="22">
      <formula>$D189=0</formula>
    </cfRule>
  </conditionalFormatting>
  <conditionalFormatting sqref="K190 D190:G190">
    <cfRule type="expression" dxfId="53" priority="18">
      <formula>$D190=0</formula>
    </cfRule>
  </conditionalFormatting>
  <conditionalFormatting sqref="L190:W190">
    <cfRule type="expression" dxfId="52" priority="20">
      <formula>$D190=0</formula>
    </cfRule>
  </conditionalFormatting>
  <conditionalFormatting sqref="U190">
    <cfRule type="expression" dxfId="51" priority="19">
      <formula>$D190=0</formula>
    </cfRule>
  </conditionalFormatting>
  <conditionalFormatting sqref="L135">
    <cfRule type="expression" dxfId="50" priority="17">
      <formula>$D135=0</formula>
    </cfRule>
  </conditionalFormatting>
  <conditionalFormatting sqref="L137">
    <cfRule type="expression" dxfId="49" priority="16">
      <formula>$D137=0</formula>
    </cfRule>
  </conditionalFormatting>
  <conditionalFormatting sqref="Q183:V183">
    <cfRule type="expression" dxfId="48" priority="15">
      <formula>$D183=0</formula>
    </cfRule>
  </conditionalFormatting>
  <conditionalFormatting sqref="Q184:V184">
    <cfRule type="expression" dxfId="47" priority="14">
      <formula>$D184=0</formula>
    </cfRule>
  </conditionalFormatting>
  <conditionalFormatting sqref="Q171:V171">
    <cfRule type="expression" dxfId="46" priority="13">
      <formula>$D171=0</formula>
    </cfRule>
  </conditionalFormatting>
  <conditionalFormatting sqref="Q185:V185">
    <cfRule type="expression" dxfId="45" priority="12">
      <formula>$D185=0</formula>
    </cfRule>
  </conditionalFormatting>
  <conditionalFormatting sqref="L192:W192">
    <cfRule type="expression" dxfId="44" priority="11">
      <formula>$D192=0</formula>
    </cfRule>
  </conditionalFormatting>
  <conditionalFormatting sqref="L193:W193">
    <cfRule type="expression" dxfId="43" priority="9">
      <formula>$D193=0</formula>
    </cfRule>
  </conditionalFormatting>
  <conditionalFormatting sqref="L194:W194">
    <cfRule type="expression" dxfId="42" priority="8">
      <formula>$D194=0</formula>
    </cfRule>
  </conditionalFormatting>
  <conditionalFormatting sqref="L195:W195">
    <cfRule type="expression" dxfId="41" priority="7">
      <formula>$D195=0</formula>
    </cfRule>
  </conditionalFormatting>
  <conditionalFormatting sqref="L196:W196">
    <cfRule type="expression" dxfId="40" priority="6">
      <formula>$D196=0</formula>
    </cfRule>
  </conditionalFormatting>
  <conditionalFormatting sqref="D197">
    <cfRule type="expression" dxfId="39" priority="5">
      <formula>$D197=0</formula>
    </cfRule>
  </conditionalFormatting>
  <conditionalFormatting sqref="E197">
    <cfRule type="expression" dxfId="38" priority="4">
      <formula>$D197=0</formula>
    </cfRule>
  </conditionalFormatting>
  <conditionalFormatting sqref="F197">
    <cfRule type="expression" dxfId="37" priority="3">
      <formula>$D197=0</formula>
    </cfRule>
  </conditionalFormatting>
  <conditionalFormatting sqref="G197">
    <cfRule type="expression" dxfId="36" priority="2">
      <formula>$D197=0</formula>
    </cfRule>
  </conditionalFormatting>
  <conditionalFormatting sqref="L197:W197">
    <cfRule type="expression" dxfId="35" priority="1">
      <formula>$D197=0</formula>
    </cfRule>
  </conditionalFormatting>
  <pageMargins left="0.7" right="0.7" top="0.75" bottom="0.75" header="0.3" footer="0.3"/>
  <pageSetup paperSize="9" scale="2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K16:K78 K12:K13 K80:K85 K137:K197 K87:K98 K100 K102:K135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P35" sqref="P35:T36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</row>
    <row r="2" spans="2:20" ht="5.0999999999999996" customHeight="1" thickBot="1">
      <c r="B2" s="330"/>
      <c r="C2" s="331"/>
      <c r="D2" s="331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228" t="e">
        <f>#REF!</f>
        <v>#REF!</v>
      </c>
      <c r="G3" s="228"/>
      <c r="H3" s="228"/>
      <c r="I3" s="228"/>
      <c r="J3" s="228"/>
      <c r="K3" s="228"/>
      <c r="L3" s="228"/>
      <c r="M3" s="3"/>
      <c r="N3" s="227" t="e">
        <f>#REF!</f>
        <v>#REF!</v>
      </c>
      <c r="O3" s="228"/>
      <c r="P3" s="228"/>
      <c r="Q3" s="228"/>
      <c r="R3" s="228"/>
      <c r="S3" s="228"/>
      <c r="T3" s="229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40"/>
      <c r="O4" s="241"/>
      <c r="P4" s="241"/>
      <c r="Q4" s="241"/>
      <c r="R4" s="241"/>
      <c r="S4" s="241"/>
      <c r="T4" s="242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301" t="e">
        <f>#REF!</f>
        <v>#REF!</v>
      </c>
      <c r="H5" s="302"/>
      <c r="I5" s="18"/>
      <c r="J5" s="2" t="e">
        <f>#REF!</f>
        <v>#REF!</v>
      </c>
      <c r="K5" s="301" t="e">
        <f>#REF!</f>
        <v>#REF!</v>
      </c>
      <c r="L5" s="302"/>
      <c r="M5" s="3"/>
      <c r="N5" s="303" t="e">
        <f>#REF!</f>
        <v>#REF!</v>
      </c>
      <c r="O5" s="304"/>
      <c r="P5" s="305" t="e">
        <f>#REF!</f>
        <v>#REF!</v>
      </c>
      <c r="Q5" s="305"/>
      <c r="R5" s="303" t="e">
        <f>#REF!</f>
        <v>#REF!</v>
      </c>
      <c r="S5" s="304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357</v>
      </c>
      <c r="H6" s="17"/>
      <c r="I6" s="18"/>
      <c r="J6" s="17"/>
      <c r="K6" s="17"/>
      <c r="L6" s="17"/>
      <c r="M6" s="4"/>
      <c r="N6" s="306" t="e">
        <f>#REF!</f>
        <v>#REF!</v>
      </c>
      <c r="O6" s="307"/>
      <c r="P6" s="308" t="e">
        <f>#REF!</f>
        <v>#REF!</v>
      </c>
      <c r="Q6" s="308"/>
      <c r="R6" s="306" t="e">
        <f>#REF!</f>
        <v>#REF!</v>
      </c>
      <c r="S6" s="307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309" t="e">
        <f>#REF!</f>
        <v>#REF!</v>
      </c>
      <c r="H7" s="310"/>
      <c r="I7" s="18"/>
      <c r="J7" s="2" t="e">
        <f>#REF!</f>
        <v>#REF!</v>
      </c>
      <c r="K7" s="301" t="e">
        <f>#REF!</f>
        <v>#REF!</v>
      </c>
      <c r="L7" s="302"/>
      <c r="M7" s="4"/>
      <c r="N7" s="306" t="e">
        <f>#REF!</f>
        <v>#REF!</v>
      </c>
      <c r="O7" s="307"/>
      <c r="P7" s="311" t="e">
        <f>#REF!</f>
        <v>#REF!</v>
      </c>
      <c r="Q7" s="311"/>
      <c r="R7" s="306" t="e">
        <f>#REF!</f>
        <v>#REF!</v>
      </c>
      <c r="S7" s="307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47"/>
    </row>
    <row r="9" spans="2:20" s="68" customFormat="1" ht="25.15" customHeight="1" thickBot="1">
      <c r="B9" s="227" t="s">
        <v>17</v>
      </c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9"/>
    </row>
    <row r="10" spans="2:20" ht="5.0999999999999996" customHeight="1" thickBot="1">
      <c r="B10" s="224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</row>
    <row r="11" spans="2:20" ht="30" customHeight="1" thickBot="1">
      <c r="B11" s="71" t="s">
        <v>18</v>
      </c>
      <c r="C11" s="59" t="s">
        <v>358</v>
      </c>
      <c r="D11" s="59" t="s">
        <v>21</v>
      </c>
      <c r="E11" s="315" t="s">
        <v>22</v>
      </c>
      <c r="F11" s="316"/>
      <c r="G11" s="315" t="s">
        <v>359</v>
      </c>
      <c r="H11" s="317"/>
      <c r="I11" s="317"/>
      <c r="J11" s="317"/>
      <c r="K11" s="316"/>
      <c r="L11" s="315" t="s">
        <v>360</v>
      </c>
      <c r="M11" s="317"/>
      <c r="N11" s="317"/>
      <c r="O11" s="316"/>
      <c r="P11" s="315" t="s">
        <v>361</v>
      </c>
      <c r="Q11" s="316"/>
      <c r="R11" s="315" t="s">
        <v>362</v>
      </c>
      <c r="S11" s="317"/>
      <c r="T11" s="316"/>
    </row>
    <row r="12" spans="2:20" ht="25.15" customHeight="1">
      <c r="B12" s="51">
        <v>1</v>
      </c>
      <c r="C12" s="54">
        <v>0</v>
      </c>
      <c r="D12" s="53" t="s">
        <v>43</v>
      </c>
      <c r="E12" s="289" t="s">
        <v>43</v>
      </c>
      <c r="F12" s="290"/>
      <c r="G12" s="291" t="s">
        <v>363</v>
      </c>
      <c r="H12" s="292"/>
      <c r="I12" s="292"/>
      <c r="J12" s="292"/>
      <c r="K12" s="293"/>
      <c r="L12" s="294" t="s">
        <v>43</v>
      </c>
      <c r="M12" s="295"/>
      <c r="N12" s="295"/>
      <c r="O12" s="296"/>
      <c r="P12" s="294" t="s">
        <v>364</v>
      </c>
      <c r="Q12" s="296"/>
      <c r="R12" s="297" t="s">
        <v>365</v>
      </c>
      <c r="S12" s="298"/>
      <c r="T12" s="299"/>
    </row>
    <row r="13" spans="2:20" ht="25.15" customHeight="1">
      <c r="B13" s="52">
        <v>2</v>
      </c>
      <c r="C13" s="54">
        <v>0</v>
      </c>
      <c r="D13" s="53" t="s">
        <v>43</v>
      </c>
      <c r="E13" s="289" t="s">
        <v>43</v>
      </c>
      <c r="F13" s="290"/>
      <c r="G13" s="291" t="s">
        <v>366</v>
      </c>
      <c r="H13" s="292"/>
      <c r="I13" s="292"/>
      <c r="J13" s="292"/>
      <c r="K13" s="293"/>
      <c r="L13" s="294" t="s">
        <v>43</v>
      </c>
      <c r="M13" s="295"/>
      <c r="N13" s="295"/>
      <c r="O13" s="296"/>
      <c r="P13" s="294" t="s">
        <v>43</v>
      </c>
      <c r="Q13" s="296"/>
      <c r="R13" s="297" t="s">
        <v>43</v>
      </c>
      <c r="S13" s="298"/>
      <c r="T13" s="299"/>
    </row>
    <row r="14" spans="2:20" ht="25.15" customHeight="1">
      <c r="B14" s="52">
        <v>3</v>
      </c>
      <c r="C14" s="54">
        <v>0</v>
      </c>
      <c r="D14" s="53" t="s">
        <v>43</v>
      </c>
      <c r="E14" s="289" t="s">
        <v>43</v>
      </c>
      <c r="F14" s="290"/>
      <c r="G14" s="291" t="s">
        <v>367</v>
      </c>
      <c r="H14" s="292"/>
      <c r="I14" s="292"/>
      <c r="J14" s="292"/>
      <c r="K14" s="293"/>
      <c r="L14" s="294" t="s">
        <v>43</v>
      </c>
      <c r="M14" s="295"/>
      <c r="N14" s="295"/>
      <c r="O14" s="296"/>
      <c r="P14" s="294" t="s">
        <v>43</v>
      </c>
      <c r="Q14" s="296"/>
      <c r="R14" s="297" t="s">
        <v>43</v>
      </c>
      <c r="S14" s="298"/>
      <c r="T14" s="299"/>
    </row>
    <row r="15" spans="2:20" ht="25.15" customHeight="1">
      <c r="B15" s="52">
        <v>4</v>
      </c>
      <c r="C15" s="54">
        <v>0</v>
      </c>
      <c r="D15" s="53" t="s">
        <v>43</v>
      </c>
      <c r="E15" s="289" t="s">
        <v>43</v>
      </c>
      <c r="F15" s="290"/>
      <c r="G15" s="291" t="s">
        <v>368</v>
      </c>
      <c r="H15" s="292"/>
      <c r="I15" s="292"/>
      <c r="J15" s="292"/>
      <c r="K15" s="293"/>
      <c r="L15" s="294" t="s">
        <v>43</v>
      </c>
      <c r="M15" s="295"/>
      <c r="N15" s="295"/>
      <c r="O15" s="296"/>
      <c r="P15" s="294" t="s">
        <v>43</v>
      </c>
      <c r="Q15" s="296"/>
      <c r="R15" s="297" t="s">
        <v>43</v>
      </c>
      <c r="S15" s="298"/>
      <c r="T15" s="299"/>
    </row>
    <row r="16" spans="2:20" ht="25.15" customHeight="1">
      <c r="B16" s="52">
        <v>5</v>
      </c>
      <c r="C16" s="54">
        <v>0</v>
      </c>
      <c r="D16" s="53" t="s">
        <v>43</v>
      </c>
      <c r="E16" s="289" t="s">
        <v>43</v>
      </c>
      <c r="F16" s="290"/>
      <c r="G16" s="291" t="s">
        <v>369</v>
      </c>
      <c r="H16" s="292"/>
      <c r="I16" s="292"/>
      <c r="J16" s="292"/>
      <c r="K16" s="293"/>
      <c r="L16" s="294" t="s">
        <v>43</v>
      </c>
      <c r="M16" s="295"/>
      <c r="N16" s="295"/>
      <c r="O16" s="296"/>
      <c r="P16" s="294" t="s">
        <v>43</v>
      </c>
      <c r="Q16" s="296"/>
      <c r="R16" s="297" t="s">
        <v>43</v>
      </c>
      <c r="S16" s="298"/>
      <c r="T16" s="299"/>
    </row>
    <row r="17" spans="2:21" ht="25.15" customHeight="1">
      <c r="B17" s="52">
        <v>6</v>
      </c>
      <c r="C17" s="54">
        <v>0</v>
      </c>
      <c r="D17" s="53" t="s">
        <v>43</v>
      </c>
      <c r="E17" s="289" t="s">
        <v>43</v>
      </c>
      <c r="F17" s="290"/>
      <c r="G17" s="291" t="s">
        <v>370</v>
      </c>
      <c r="H17" s="292"/>
      <c r="I17" s="292"/>
      <c r="J17" s="292"/>
      <c r="K17" s="293"/>
      <c r="L17" s="294" t="s">
        <v>43</v>
      </c>
      <c r="M17" s="295"/>
      <c r="N17" s="295"/>
      <c r="O17" s="296"/>
      <c r="P17" s="294" t="s">
        <v>43</v>
      </c>
      <c r="Q17" s="296"/>
      <c r="R17" s="297" t="s">
        <v>43</v>
      </c>
      <c r="S17" s="298"/>
      <c r="T17" s="299"/>
    </row>
    <row r="18" spans="2:21" ht="60" customHeight="1">
      <c r="B18" s="52">
        <v>7</v>
      </c>
      <c r="C18" s="54">
        <v>0</v>
      </c>
      <c r="D18" s="53" t="s">
        <v>43</v>
      </c>
      <c r="E18" s="289" t="s">
        <v>42</v>
      </c>
      <c r="F18" s="290"/>
      <c r="G18" s="291" t="s">
        <v>371</v>
      </c>
      <c r="H18" s="292"/>
      <c r="I18" s="292"/>
      <c r="J18" s="292"/>
      <c r="K18" s="293"/>
      <c r="L18" s="294" t="s">
        <v>372</v>
      </c>
      <c r="M18" s="295"/>
      <c r="N18" s="295"/>
      <c r="O18" s="296"/>
      <c r="P18" s="294" t="s">
        <v>364</v>
      </c>
      <c r="Q18" s="296"/>
      <c r="R18" s="297" t="s">
        <v>373</v>
      </c>
      <c r="S18" s="298"/>
      <c r="T18" s="299"/>
    </row>
    <row r="19" spans="2:21" ht="25.15" customHeight="1">
      <c r="B19" s="52">
        <v>8</v>
      </c>
      <c r="C19" s="54">
        <v>0</v>
      </c>
      <c r="D19" s="53" t="s">
        <v>43</v>
      </c>
      <c r="E19" s="289" t="s">
        <v>43</v>
      </c>
      <c r="F19" s="290"/>
      <c r="G19" s="291" t="s">
        <v>374</v>
      </c>
      <c r="H19" s="292"/>
      <c r="I19" s="292"/>
      <c r="J19" s="292"/>
      <c r="K19" s="293"/>
      <c r="L19" s="294" t="s">
        <v>375</v>
      </c>
      <c r="M19" s="295"/>
      <c r="N19" s="295"/>
      <c r="O19" s="296"/>
      <c r="P19" s="294" t="s">
        <v>376</v>
      </c>
      <c r="Q19" s="296"/>
      <c r="R19" s="297" t="s">
        <v>377</v>
      </c>
      <c r="S19" s="298"/>
      <c r="T19" s="299"/>
      <c r="U19" s="63" t="s">
        <v>378</v>
      </c>
    </row>
    <row r="20" spans="2:21" ht="25.15" customHeight="1">
      <c r="B20" s="52"/>
      <c r="C20" s="54">
        <v>0</v>
      </c>
      <c r="D20" s="53" t="s">
        <v>43</v>
      </c>
      <c r="E20" s="289" t="s">
        <v>43</v>
      </c>
      <c r="F20" s="290"/>
      <c r="G20" s="291" t="s">
        <v>379</v>
      </c>
      <c r="H20" s="292"/>
      <c r="I20" s="292"/>
      <c r="J20" s="292"/>
      <c r="K20" s="293"/>
      <c r="L20" s="294" t="s">
        <v>43</v>
      </c>
      <c r="M20" s="295"/>
      <c r="N20" s="295"/>
      <c r="O20" s="296"/>
      <c r="P20" s="294" t="s">
        <v>43</v>
      </c>
      <c r="Q20" s="296"/>
      <c r="R20" s="297" t="s">
        <v>43</v>
      </c>
      <c r="S20" s="298"/>
      <c r="T20" s="299"/>
    </row>
    <row r="21" spans="2:21" ht="25.15" customHeight="1">
      <c r="B21" s="52"/>
      <c r="C21" s="54">
        <v>0</v>
      </c>
      <c r="D21" s="53" t="s">
        <v>43</v>
      </c>
      <c r="E21" s="289" t="s">
        <v>43</v>
      </c>
      <c r="F21" s="290"/>
      <c r="G21" s="291" t="s">
        <v>380</v>
      </c>
      <c r="H21" s="292"/>
      <c r="I21" s="292"/>
      <c r="J21" s="292"/>
      <c r="K21" s="293"/>
      <c r="L21" s="294" t="s">
        <v>43</v>
      </c>
      <c r="M21" s="295"/>
      <c r="N21" s="295"/>
      <c r="O21" s="296"/>
      <c r="P21" s="294" t="s">
        <v>43</v>
      </c>
      <c r="Q21" s="296"/>
      <c r="R21" s="297" t="s">
        <v>43</v>
      </c>
      <c r="S21" s="298"/>
      <c r="T21" s="299"/>
    </row>
    <row r="22" spans="2:21" ht="25.15" customHeight="1">
      <c r="B22" s="52"/>
      <c r="C22" s="54">
        <v>0</v>
      </c>
      <c r="D22" s="53" t="s">
        <v>43</v>
      </c>
      <c r="E22" s="289" t="s">
        <v>43</v>
      </c>
      <c r="F22" s="290"/>
      <c r="G22" s="291" t="s">
        <v>381</v>
      </c>
      <c r="H22" s="292"/>
      <c r="I22" s="292"/>
      <c r="J22" s="292"/>
      <c r="K22" s="293"/>
      <c r="L22" s="294" t="s">
        <v>43</v>
      </c>
      <c r="M22" s="295"/>
      <c r="N22" s="295"/>
      <c r="O22" s="296"/>
      <c r="P22" s="294" t="s">
        <v>364</v>
      </c>
      <c r="Q22" s="296"/>
      <c r="R22" s="297" t="s">
        <v>382</v>
      </c>
      <c r="S22" s="298"/>
      <c r="T22" s="299"/>
    </row>
    <row r="23" spans="2:21" ht="25.15" customHeight="1">
      <c r="B23" s="52"/>
      <c r="C23" s="54">
        <v>0</v>
      </c>
      <c r="D23" s="53" t="s">
        <v>43</v>
      </c>
      <c r="E23" s="289" t="s">
        <v>43</v>
      </c>
      <c r="F23" s="290"/>
      <c r="G23" s="291" t="s">
        <v>43</v>
      </c>
      <c r="H23" s="292"/>
      <c r="I23" s="292"/>
      <c r="J23" s="292"/>
      <c r="K23" s="293"/>
      <c r="L23" s="294" t="s">
        <v>43</v>
      </c>
      <c r="M23" s="295"/>
      <c r="N23" s="295"/>
      <c r="O23" s="296"/>
      <c r="P23" s="294" t="s">
        <v>43</v>
      </c>
      <c r="Q23" s="296"/>
      <c r="R23" s="297" t="s">
        <v>43</v>
      </c>
      <c r="S23" s="298"/>
      <c r="T23" s="299"/>
    </row>
    <row r="24" spans="2:21" ht="25.15" customHeight="1">
      <c r="B24" s="52">
        <f t="shared" ref="B24:B52" si="0">IF(G24="","",B23+1)</f>
        <v>1</v>
      </c>
      <c r="C24" s="54">
        <v>0</v>
      </c>
      <c r="D24" s="53" t="s">
        <v>43</v>
      </c>
      <c r="E24" s="289" t="s">
        <v>43</v>
      </c>
      <c r="F24" s="290"/>
      <c r="G24" s="338" t="s">
        <v>383</v>
      </c>
      <c r="H24" s="339"/>
      <c r="I24" s="339"/>
      <c r="J24" s="339"/>
      <c r="K24" s="340"/>
      <c r="L24" s="294" t="s">
        <v>43</v>
      </c>
      <c r="M24" s="295"/>
      <c r="N24" s="295"/>
      <c r="O24" s="296"/>
      <c r="P24" s="294" t="s">
        <v>43</v>
      </c>
      <c r="Q24" s="296"/>
      <c r="R24" s="297" t="s">
        <v>43</v>
      </c>
      <c r="S24" s="298"/>
      <c r="T24" s="299"/>
    </row>
    <row r="25" spans="2:21" ht="25.15" customHeight="1">
      <c r="B25" s="52">
        <f t="shared" si="0"/>
        <v>2</v>
      </c>
      <c r="C25" s="54">
        <v>0</v>
      </c>
      <c r="D25" s="53" t="s">
        <v>43</v>
      </c>
      <c r="E25" s="289" t="s">
        <v>43</v>
      </c>
      <c r="F25" s="290" t="s">
        <v>43</v>
      </c>
      <c r="G25" s="335" t="s">
        <v>384</v>
      </c>
      <c r="H25" s="336"/>
      <c r="I25" s="336"/>
      <c r="J25" s="336"/>
      <c r="K25" s="337"/>
      <c r="L25" s="294" t="s">
        <v>43</v>
      </c>
      <c r="M25" s="295"/>
      <c r="N25" s="295"/>
      <c r="O25" s="296"/>
      <c r="P25" s="294" t="s">
        <v>364</v>
      </c>
      <c r="Q25" s="296"/>
      <c r="R25" s="297" t="s">
        <v>385</v>
      </c>
      <c r="S25" s="298"/>
      <c r="T25" s="299"/>
    </row>
    <row r="26" spans="2:21" ht="25.15" customHeight="1">
      <c r="B26" s="52">
        <f t="shared" si="0"/>
        <v>3</v>
      </c>
      <c r="C26" s="54">
        <v>0</v>
      </c>
      <c r="D26" s="53" t="s">
        <v>43</v>
      </c>
      <c r="E26" s="289" t="s">
        <v>43</v>
      </c>
      <c r="F26" s="290" t="s">
        <v>43</v>
      </c>
      <c r="G26" s="335" t="s">
        <v>386</v>
      </c>
      <c r="H26" s="336"/>
      <c r="I26" s="336"/>
      <c r="J26" s="336"/>
      <c r="K26" s="337"/>
      <c r="L26" s="294" t="s">
        <v>43</v>
      </c>
      <c r="M26" s="295"/>
      <c r="N26" s="295"/>
      <c r="O26" s="296"/>
      <c r="P26" s="294" t="s">
        <v>364</v>
      </c>
      <c r="Q26" s="296"/>
      <c r="R26" s="321" t="s">
        <v>387</v>
      </c>
      <c r="S26" s="322"/>
      <c r="T26" s="323"/>
    </row>
    <row r="27" spans="2:21" ht="25.15" customHeight="1">
      <c r="B27" s="52" t="e">
        <f>IF(#REF!="","",B26+1)</f>
        <v>#REF!</v>
      </c>
      <c r="C27" s="54">
        <v>0</v>
      </c>
      <c r="D27" s="53" t="s">
        <v>43</v>
      </c>
      <c r="E27" s="289" t="s">
        <v>43</v>
      </c>
      <c r="F27" s="290" t="s">
        <v>43</v>
      </c>
      <c r="G27" s="335" t="s">
        <v>388</v>
      </c>
      <c r="H27" s="336"/>
      <c r="I27" s="336"/>
      <c r="J27" s="336"/>
      <c r="K27" s="337"/>
      <c r="L27" s="294" t="s">
        <v>43</v>
      </c>
      <c r="M27" s="295"/>
      <c r="N27" s="295"/>
      <c r="O27" s="296"/>
      <c r="P27" s="294" t="s">
        <v>364</v>
      </c>
      <c r="Q27" s="296"/>
      <c r="R27" s="321" t="s">
        <v>389</v>
      </c>
      <c r="S27" s="322"/>
      <c r="T27" s="323"/>
    </row>
    <row r="28" spans="2:21" ht="25.15" customHeight="1">
      <c r="B28" s="69" t="e">
        <f t="shared" si="0"/>
        <v>#REF!</v>
      </c>
      <c r="C28" s="54">
        <v>0</v>
      </c>
      <c r="D28" s="53" t="s">
        <v>43</v>
      </c>
      <c r="E28" s="289" t="s">
        <v>43</v>
      </c>
      <c r="F28" s="290" t="s">
        <v>43</v>
      </c>
      <c r="G28" s="335" t="s">
        <v>390</v>
      </c>
      <c r="H28" s="336"/>
      <c r="I28" s="336"/>
      <c r="J28" s="336"/>
      <c r="K28" s="337"/>
      <c r="L28" s="294" t="s">
        <v>43</v>
      </c>
      <c r="M28" s="295"/>
      <c r="N28" s="295"/>
      <c r="O28" s="296"/>
      <c r="P28" s="294" t="s">
        <v>364</v>
      </c>
      <c r="Q28" s="296"/>
      <c r="R28" s="321" t="s">
        <v>391</v>
      </c>
      <c r="S28" s="322"/>
      <c r="T28" s="323"/>
    </row>
    <row r="29" spans="2:21" ht="25.15" customHeight="1">
      <c r="B29" s="69" t="e">
        <f t="shared" si="0"/>
        <v>#REF!</v>
      </c>
      <c r="C29" s="54">
        <v>0</v>
      </c>
      <c r="D29" s="53" t="s">
        <v>43</v>
      </c>
      <c r="E29" s="289" t="s">
        <v>43</v>
      </c>
      <c r="F29" s="290"/>
      <c r="G29" s="335" t="s">
        <v>392</v>
      </c>
      <c r="H29" s="336"/>
      <c r="I29" s="336"/>
      <c r="J29" s="336"/>
      <c r="K29" s="337"/>
      <c r="L29" s="294" t="s">
        <v>43</v>
      </c>
      <c r="M29" s="295"/>
      <c r="N29" s="295"/>
      <c r="O29" s="296"/>
      <c r="P29" s="294" t="s">
        <v>43</v>
      </c>
      <c r="Q29" s="296"/>
      <c r="R29" s="297" t="s">
        <v>43</v>
      </c>
      <c r="S29" s="298"/>
      <c r="T29" s="299"/>
    </row>
    <row r="30" spans="2:21" ht="25.15" customHeight="1">
      <c r="B30" s="69" t="e">
        <f t="shared" si="0"/>
        <v>#REF!</v>
      </c>
      <c r="C30" s="46">
        <v>12</v>
      </c>
      <c r="D30" s="45" t="s">
        <v>43</v>
      </c>
      <c r="E30" s="289" t="s">
        <v>43</v>
      </c>
      <c r="F30" s="290"/>
      <c r="G30" s="289" t="s">
        <v>393</v>
      </c>
      <c r="H30" s="332"/>
      <c r="I30" s="332"/>
      <c r="J30" s="332"/>
      <c r="K30" s="290"/>
      <c r="L30" s="312" t="s">
        <v>43</v>
      </c>
      <c r="M30" s="313"/>
      <c r="N30" s="313"/>
      <c r="O30" s="314"/>
      <c r="P30" s="312" t="s">
        <v>394</v>
      </c>
      <c r="Q30" s="314"/>
      <c r="R30" s="324" t="s">
        <v>43</v>
      </c>
      <c r="S30" s="325"/>
      <c r="T30" s="326"/>
    </row>
    <row r="31" spans="2:21" ht="25.15" customHeight="1">
      <c r="B31" s="69" t="e">
        <f t="shared" si="0"/>
        <v>#REF!</v>
      </c>
      <c r="C31" s="46">
        <v>4</v>
      </c>
      <c r="D31" s="45" t="s">
        <v>43</v>
      </c>
      <c r="E31" s="289" t="s">
        <v>43</v>
      </c>
      <c r="F31" s="290"/>
      <c r="G31" s="289" t="s">
        <v>395</v>
      </c>
      <c r="H31" s="332"/>
      <c r="I31" s="332"/>
      <c r="J31" s="332"/>
      <c r="K31" s="290"/>
      <c r="L31" s="312" t="s">
        <v>43</v>
      </c>
      <c r="M31" s="313"/>
      <c r="N31" s="313"/>
      <c r="O31" s="314"/>
      <c r="P31" s="312" t="s">
        <v>394</v>
      </c>
      <c r="Q31" s="314"/>
      <c r="R31" s="324" t="s">
        <v>43</v>
      </c>
      <c r="S31" s="325"/>
      <c r="T31" s="326"/>
    </row>
    <row r="32" spans="2:21" ht="25.15" customHeight="1">
      <c r="B32" s="69" t="e">
        <f t="shared" si="0"/>
        <v>#REF!</v>
      </c>
      <c r="C32" s="46">
        <v>10</v>
      </c>
      <c r="D32" s="45" t="s">
        <v>43</v>
      </c>
      <c r="E32" s="289" t="s">
        <v>43</v>
      </c>
      <c r="F32" s="290"/>
      <c r="G32" s="289" t="s">
        <v>393</v>
      </c>
      <c r="H32" s="332"/>
      <c r="I32" s="332"/>
      <c r="J32" s="332"/>
      <c r="K32" s="290"/>
      <c r="L32" s="312" t="s">
        <v>43</v>
      </c>
      <c r="M32" s="313"/>
      <c r="N32" s="313"/>
      <c r="O32" s="314"/>
      <c r="P32" s="312" t="s">
        <v>396</v>
      </c>
      <c r="Q32" s="314"/>
      <c r="R32" s="324" t="s">
        <v>43</v>
      </c>
      <c r="S32" s="325"/>
      <c r="T32" s="326"/>
    </row>
    <row r="33" spans="2:20" ht="25.15" customHeight="1">
      <c r="B33" s="69" t="e">
        <f t="shared" si="0"/>
        <v>#REF!</v>
      </c>
      <c r="C33" s="46">
        <v>13</v>
      </c>
      <c r="D33" s="45" t="s">
        <v>43</v>
      </c>
      <c r="E33" s="289" t="s">
        <v>43</v>
      </c>
      <c r="F33" s="290"/>
      <c r="G33" s="289" t="s">
        <v>397</v>
      </c>
      <c r="H33" s="332"/>
      <c r="I33" s="332"/>
      <c r="J33" s="332"/>
      <c r="K33" s="290"/>
      <c r="L33" s="312" t="s">
        <v>43</v>
      </c>
      <c r="M33" s="313"/>
      <c r="N33" s="313"/>
      <c r="O33" s="314"/>
      <c r="P33" s="312" t="s">
        <v>355</v>
      </c>
      <c r="Q33" s="314"/>
      <c r="R33" s="324" t="s">
        <v>43</v>
      </c>
      <c r="S33" s="325"/>
      <c r="T33" s="326"/>
    </row>
    <row r="34" spans="2:20" ht="25.15" customHeight="1">
      <c r="B34" s="69" t="e">
        <f t="shared" si="0"/>
        <v>#REF!</v>
      </c>
      <c r="C34" s="46">
        <v>2</v>
      </c>
      <c r="D34" s="45" t="s">
        <v>43</v>
      </c>
      <c r="E34" s="289" t="s">
        <v>43</v>
      </c>
      <c r="F34" s="290"/>
      <c r="G34" s="289" t="s">
        <v>398</v>
      </c>
      <c r="H34" s="332"/>
      <c r="I34" s="332"/>
      <c r="J34" s="332"/>
      <c r="K34" s="290"/>
      <c r="L34" s="312" t="s">
        <v>43</v>
      </c>
      <c r="M34" s="313"/>
      <c r="N34" s="313"/>
      <c r="O34" s="314"/>
      <c r="P34" s="312" t="s">
        <v>355</v>
      </c>
      <c r="Q34" s="314"/>
      <c r="R34" s="324" t="s">
        <v>43</v>
      </c>
      <c r="S34" s="325"/>
      <c r="T34" s="326"/>
    </row>
    <row r="35" spans="2:20" ht="25.15" customHeight="1">
      <c r="B35" s="69" t="e">
        <f t="shared" si="0"/>
        <v>#REF!</v>
      </c>
      <c r="C35" s="46">
        <v>1</v>
      </c>
      <c r="D35" s="45" t="s">
        <v>43</v>
      </c>
      <c r="E35" s="289" t="s">
        <v>43</v>
      </c>
      <c r="F35" s="290"/>
      <c r="G35" s="289" t="s">
        <v>399</v>
      </c>
      <c r="H35" s="332"/>
      <c r="I35" s="332"/>
      <c r="J35" s="332"/>
      <c r="K35" s="290"/>
      <c r="L35" s="312" t="s">
        <v>43</v>
      </c>
      <c r="M35" s="313"/>
      <c r="N35" s="313"/>
      <c r="O35" s="314"/>
      <c r="P35" s="312" t="s">
        <v>355</v>
      </c>
      <c r="Q35" s="314"/>
      <c r="R35" s="324" t="s">
        <v>43</v>
      </c>
      <c r="S35" s="325"/>
      <c r="T35" s="326"/>
    </row>
    <row r="36" spans="2:20" ht="25.15" customHeight="1">
      <c r="B36" s="69" t="e">
        <f t="shared" si="0"/>
        <v>#REF!</v>
      </c>
      <c r="C36" s="46">
        <v>1</v>
      </c>
      <c r="D36" s="45" t="s">
        <v>43</v>
      </c>
      <c r="E36" s="289" t="s">
        <v>43</v>
      </c>
      <c r="F36" s="290"/>
      <c r="G36" s="289" t="s">
        <v>400</v>
      </c>
      <c r="H36" s="332"/>
      <c r="I36" s="332"/>
      <c r="J36" s="332"/>
      <c r="K36" s="290"/>
      <c r="L36" s="312" t="s">
        <v>43</v>
      </c>
      <c r="M36" s="313"/>
      <c r="N36" s="313"/>
      <c r="O36" s="314"/>
      <c r="P36" s="312" t="s">
        <v>355</v>
      </c>
      <c r="Q36" s="314"/>
      <c r="R36" s="324" t="s">
        <v>43</v>
      </c>
      <c r="S36" s="325"/>
      <c r="T36" s="326"/>
    </row>
    <row r="37" spans="2:20" ht="25.15" customHeight="1">
      <c r="B37" s="69" t="str">
        <f t="shared" si="0"/>
        <v/>
      </c>
      <c r="C37" s="47"/>
      <c r="D37" s="36"/>
      <c r="E37" s="289"/>
      <c r="F37" s="290"/>
      <c r="G37" s="289"/>
      <c r="H37" s="332"/>
      <c r="I37" s="332"/>
      <c r="J37" s="332"/>
      <c r="K37" s="290"/>
      <c r="L37" s="312"/>
      <c r="M37" s="313"/>
      <c r="N37" s="313"/>
      <c r="O37" s="314"/>
      <c r="P37" s="312"/>
      <c r="Q37" s="314"/>
      <c r="R37" s="324"/>
      <c r="S37" s="325"/>
      <c r="T37" s="326"/>
    </row>
    <row r="38" spans="2:20" ht="25.15" customHeight="1">
      <c r="B38" s="69" t="str">
        <f t="shared" si="0"/>
        <v/>
      </c>
      <c r="C38" s="48"/>
      <c r="D38" s="53"/>
      <c r="E38" s="291"/>
      <c r="F38" s="293"/>
      <c r="G38" s="289"/>
      <c r="H38" s="332"/>
      <c r="I38" s="332"/>
      <c r="J38" s="332"/>
      <c r="K38" s="290"/>
      <c r="L38" s="312"/>
      <c r="M38" s="313"/>
      <c r="N38" s="313"/>
      <c r="O38" s="314"/>
      <c r="P38" s="294"/>
      <c r="Q38" s="296"/>
      <c r="R38" s="324"/>
      <c r="S38" s="325"/>
      <c r="T38" s="326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289"/>
      <c r="H39" s="332"/>
      <c r="I39" s="332"/>
      <c r="J39" s="332"/>
      <c r="K39" s="290"/>
      <c r="L39" s="312"/>
      <c r="M39" s="313"/>
      <c r="N39" s="313"/>
      <c r="O39" s="314"/>
      <c r="P39" s="294"/>
      <c r="Q39" s="296"/>
      <c r="R39" s="324"/>
      <c r="S39" s="325"/>
      <c r="T39" s="326"/>
    </row>
    <row r="40" spans="2:20" ht="25.15" customHeight="1">
      <c r="B40" s="69" t="str">
        <f t="shared" si="0"/>
        <v/>
      </c>
      <c r="C40" s="48"/>
      <c r="D40" s="53"/>
      <c r="E40" s="291"/>
      <c r="F40" s="293"/>
      <c r="G40" s="289"/>
      <c r="H40" s="332"/>
      <c r="I40" s="332"/>
      <c r="J40" s="332"/>
      <c r="K40" s="290"/>
      <c r="L40" s="312"/>
      <c r="M40" s="313"/>
      <c r="N40" s="313"/>
      <c r="O40" s="314"/>
      <c r="P40" s="294"/>
      <c r="Q40" s="296"/>
      <c r="R40" s="324"/>
      <c r="S40" s="325"/>
      <c r="T40" s="326"/>
    </row>
    <row r="41" spans="2:20" ht="25.15" customHeight="1">
      <c r="B41" s="69" t="str">
        <f t="shared" si="0"/>
        <v/>
      </c>
      <c r="C41" s="48"/>
      <c r="D41" s="53"/>
      <c r="E41" s="291"/>
      <c r="F41" s="293"/>
      <c r="G41" s="289"/>
      <c r="H41" s="332"/>
      <c r="I41" s="332"/>
      <c r="J41" s="332"/>
      <c r="K41" s="290"/>
      <c r="L41" s="312"/>
      <c r="M41" s="313"/>
      <c r="N41" s="313"/>
      <c r="O41" s="314"/>
      <c r="P41" s="294"/>
      <c r="Q41" s="296"/>
      <c r="R41" s="324"/>
      <c r="S41" s="325"/>
      <c r="T41" s="326"/>
    </row>
    <row r="42" spans="2:20" ht="25.15" customHeight="1">
      <c r="B42" s="69" t="str">
        <f t="shared" si="0"/>
        <v/>
      </c>
      <c r="C42" s="48"/>
      <c r="D42" s="53"/>
      <c r="E42" s="291"/>
      <c r="F42" s="293"/>
      <c r="G42" s="289"/>
      <c r="H42" s="332"/>
      <c r="I42" s="332"/>
      <c r="J42" s="332"/>
      <c r="K42" s="290"/>
      <c r="L42" s="312"/>
      <c r="M42" s="313"/>
      <c r="N42" s="313"/>
      <c r="O42" s="314"/>
      <c r="P42" s="294"/>
      <c r="Q42" s="296"/>
      <c r="R42" s="324"/>
      <c r="S42" s="325"/>
      <c r="T42" s="326"/>
    </row>
    <row r="43" spans="2:20" ht="25.15" customHeight="1">
      <c r="B43" s="69" t="str">
        <f t="shared" si="0"/>
        <v/>
      </c>
      <c r="C43" s="48"/>
      <c r="D43" s="53"/>
      <c r="E43" s="291"/>
      <c r="F43" s="293"/>
      <c r="G43" s="289"/>
      <c r="H43" s="332"/>
      <c r="I43" s="332"/>
      <c r="J43" s="332"/>
      <c r="K43" s="290"/>
      <c r="L43" s="312"/>
      <c r="M43" s="313"/>
      <c r="N43" s="313"/>
      <c r="O43" s="314"/>
      <c r="P43" s="294"/>
      <c r="Q43" s="296"/>
      <c r="R43" s="324"/>
      <c r="S43" s="325"/>
      <c r="T43" s="326"/>
    </row>
    <row r="44" spans="2:20" ht="25.15" customHeight="1">
      <c r="B44" s="69" t="str">
        <f t="shared" si="0"/>
        <v/>
      </c>
      <c r="C44" s="48"/>
      <c r="D44" s="53"/>
      <c r="E44" s="291"/>
      <c r="F44" s="293"/>
      <c r="G44" s="289"/>
      <c r="H44" s="332"/>
      <c r="I44" s="332"/>
      <c r="J44" s="332"/>
      <c r="K44" s="290"/>
      <c r="L44" s="312"/>
      <c r="M44" s="313"/>
      <c r="N44" s="313"/>
      <c r="O44" s="314"/>
      <c r="P44" s="294"/>
      <c r="Q44" s="296"/>
      <c r="R44" s="324"/>
      <c r="S44" s="325"/>
      <c r="T44" s="326"/>
    </row>
    <row r="45" spans="2:20" ht="25.15" customHeight="1">
      <c r="B45" s="69" t="str">
        <f t="shared" si="0"/>
        <v/>
      </c>
      <c r="C45" s="48"/>
      <c r="D45" s="53"/>
      <c r="E45" s="291"/>
      <c r="F45" s="293"/>
      <c r="G45" s="289"/>
      <c r="H45" s="332"/>
      <c r="I45" s="332"/>
      <c r="J45" s="332"/>
      <c r="K45" s="290"/>
      <c r="L45" s="312"/>
      <c r="M45" s="313"/>
      <c r="N45" s="313"/>
      <c r="O45" s="314"/>
      <c r="P45" s="294"/>
      <c r="Q45" s="296"/>
      <c r="R45" s="324"/>
      <c r="S45" s="325"/>
      <c r="T45" s="326"/>
    </row>
    <row r="46" spans="2:20" ht="25.15" customHeight="1">
      <c r="B46" s="69" t="str">
        <f t="shared" si="0"/>
        <v/>
      </c>
      <c r="C46" s="48"/>
      <c r="D46" s="32"/>
      <c r="E46" s="289"/>
      <c r="F46" s="290"/>
      <c r="G46" s="289"/>
      <c r="H46" s="332"/>
      <c r="I46" s="332"/>
      <c r="J46" s="332"/>
      <c r="K46" s="290"/>
      <c r="L46" s="312"/>
      <c r="M46" s="313"/>
      <c r="N46" s="313"/>
      <c r="O46" s="314"/>
      <c r="P46" s="312"/>
      <c r="Q46" s="314"/>
      <c r="R46" s="324"/>
      <c r="S46" s="325"/>
      <c r="T46" s="326"/>
    </row>
    <row r="47" spans="2:20" ht="25.15" customHeight="1">
      <c r="B47" s="69" t="str">
        <f t="shared" si="0"/>
        <v/>
      </c>
      <c r="C47" s="48"/>
      <c r="D47" s="32"/>
      <c r="E47" s="289"/>
      <c r="F47" s="290"/>
      <c r="G47" s="289"/>
      <c r="H47" s="332"/>
      <c r="I47" s="332"/>
      <c r="J47" s="332"/>
      <c r="K47" s="290"/>
      <c r="L47" s="312"/>
      <c r="M47" s="313"/>
      <c r="N47" s="313"/>
      <c r="O47" s="314"/>
      <c r="P47" s="312"/>
      <c r="Q47" s="314"/>
      <c r="R47" s="324"/>
      <c r="S47" s="325"/>
      <c r="T47" s="326"/>
    </row>
    <row r="48" spans="2:20" ht="25.15" customHeight="1">
      <c r="B48" s="69" t="str">
        <f t="shared" si="0"/>
        <v/>
      </c>
      <c r="C48" s="48"/>
      <c r="D48" s="32"/>
      <c r="E48" s="289"/>
      <c r="F48" s="290"/>
      <c r="G48" s="289"/>
      <c r="H48" s="332"/>
      <c r="I48" s="332"/>
      <c r="J48" s="332"/>
      <c r="K48" s="290"/>
      <c r="L48" s="312"/>
      <c r="M48" s="313"/>
      <c r="N48" s="313"/>
      <c r="O48" s="314"/>
      <c r="P48" s="312"/>
      <c r="Q48" s="314"/>
      <c r="R48" s="324"/>
      <c r="S48" s="325"/>
      <c r="T48" s="326"/>
    </row>
    <row r="49" spans="2:20" ht="25.15" customHeight="1">
      <c r="B49" s="69" t="str">
        <f t="shared" si="0"/>
        <v/>
      </c>
      <c r="C49" s="48"/>
      <c r="D49" s="32"/>
      <c r="E49" s="289"/>
      <c r="F49" s="290"/>
      <c r="G49" s="289"/>
      <c r="H49" s="332"/>
      <c r="I49" s="332"/>
      <c r="J49" s="332"/>
      <c r="K49" s="290"/>
      <c r="L49" s="312"/>
      <c r="M49" s="313"/>
      <c r="N49" s="313"/>
      <c r="O49" s="314"/>
      <c r="P49" s="312"/>
      <c r="Q49" s="314"/>
      <c r="R49" s="324"/>
      <c r="S49" s="325"/>
      <c r="T49" s="326"/>
    </row>
    <row r="50" spans="2:20" ht="25.15" customHeight="1">
      <c r="B50" s="69" t="str">
        <f t="shared" si="0"/>
        <v/>
      </c>
      <c r="C50" s="48"/>
      <c r="D50" s="32"/>
      <c r="E50" s="289"/>
      <c r="F50" s="290"/>
      <c r="G50" s="289"/>
      <c r="H50" s="332"/>
      <c r="I50" s="332"/>
      <c r="J50" s="332"/>
      <c r="K50" s="290"/>
      <c r="L50" s="312"/>
      <c r="M50" s="313"/>
      <c r="N50" s="313"/>
      <c r="O50" s="314"/>
      <c r="P50" s="312"/>
      <c r="Q50" s="314"/>
      <c r="R50" s="324"/>
      <c r="S50" s="325"/>
      <c r="T50" s="326"/>
    </row>
    <row r="51" spans="2:20" ht="25.15" customHeight="1">
      <c r="B51" s="69" t="str">
        <f t="shared" si="0"/>
        <v/>
      </c>
      <c r="C51" s="48"/>
      <c r="D51" s="32"/>
      <c r="E51" s="289"/>
      <c r="F51" s="290"/>
      <c r="G51" s="289"/>
      <c r="H51" s="332"/>
      <c r="I51" s="332"/>
      <c r="J51" s="332"/>
      <c r="K51" s="290"/>
      <c r="L51" s="312"/>
      <c r="M51" s="313"/>
      <c r="N51" s="313"/>
      <c r="O51" s="314"/>
      <c r="P51" s="312"/>
      <c r="Q51" s="314"/>
      <c r="R51" s="324"/>
      <c r="S51" s="325"/>
      <c r="T51" s="326"/>
    </row>
    <row r="52" spans="2:20" ht="25.15" customHeight="1">
      <c r="B52" s="69" t="str">
        <f t="shared" si="0"/>
        <v/>
      </c>
      <c r="C52" s="48"/>
      <c r="D52" s="32"/>
      <c r="E52" s="289"/>
      <c r="F52" s="290"/>
      <c r="G52" s="289"/>
      <c r="H52" s="332"/>
      <c r="I52" s="332"/>
      <c r="J52" s="332"/>
      <c r="K52" s="290"/>
      <c r="L52" s="312"/>
      <c r="M52" s="313"/>
      <c r="N52" s="313"/>
      <c r="O52" s="314"/>
      <c r="P52" s="312"/>
      <c r="Q52" s="314"/>
      <c r="R52" s="324"/>
      <c r="S52" s="325"/>
      <c r="T52" s="326"/>
    </row>
    <row r="53" spans="2:20" ht="25.15" customHeight="1" thickBot="1">
      <c r="B53" s="70" t="str">
        <f>IF(G53="","",B52+1)</f>
        <v/>
      </c>
      <c r="C53" s="49"/>
      <c r="D53" s="33"/>
      <c r="E53" s="333"/>
      <c r="F53" s="334"/>
      <c r="G53" s="333"/>
      <c r="H53" s="341"/>
      <c r="I53" s="341"/>
      <c r="J53" s="341"/>
      <c r="K53" s="334"/>
      <c r="L53" s="318"/>
      <c r="M53" s="319"/>
      <c r="N53" s="319"/>
      <c r="O53" s="320"/>
      <c r="P53" s="318"/>
      <c r="Q53" s="320"/>
      <c r="R53" s="327"/>
      <c r="S53" s="328"/>
      <c r="T53" s="329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3">
    <cfRule type="expression" dxfId="34" priority="5">
      <formula>$C12=0</formula>
    </cfRule>
  </conditionalFormatting>
  <conditionalFormatting sqref="G16:Q17 G20:Q21 G18:O19 G22:O25">
    <cfRule type="expression" dxfId="33" priority="7">
      <formula>$C16=0</formula>
    </cfRule>
  </conditionalFormatting>
  <conditionalFormatting sqref="G27:O28 R27:R28">
    <cfRule type="expression" dxfId="32" priority="76">
      <formula>$C27=0</formula>
    </cfRule>
  </conditionalFormatting>
  <conditionalFormatting sqref="G12:T15">
    <cfRule type="expression" dxfId="31" priority="3">
      <formula>$C12=0</formula>
    </cfRule>
  </conditionalFormatting>
  <conditionalFormatting sqref="G26:O26 R26:T26">
    <cfRule type="expression" dxfId="30" priority="84">
      <formula>$C26=0</formula>
    </cfRule>
  </conditionalFormatting>
  <conditionalFormatting sqref="G30:T33 C34:T53 G29:O29 R29:T29">
    <cfRule type="expression" dxfId="29" priority="68">
      <formula>$C29=0</formula>
    </cfRule>
  </conditionalFormatting>
  <conditionalFormatting sqref="R16">
    <cfRule type="expression" dxfId="28" priority="63">
      <formula>$C16=0</formula>
    </cfRule>
  </conditionalFormatting>
  <conditionalFormatting sqref="R17:T25">
    <cfRule type="expression" dxfId="27" priority="16">
      <formula>$C17=0</formula>
    </cfRule>
  </conditionalFormatting>
  <conditionalFormatting sqref="P18:Q19">
    <cfRule type="expression" dxfId="26" priority="2">
      <formula>$C18=0</formula>
    </cfRule>
  </conditionalFormatting>
  <conditionalFormatting sqref="P22:Q29">
    <cfRule type="expression" dxfId="25" priority="1">
      <formula>$C22=0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Z190"/>
  <sheetViews>
    <sheetView showGridLines="0" zoomScale="70" zoomScaleNormal="70" workbookViewId="0">
      <pane xSplit="2" ySplit="11" topLeftCell="C12" activePane="bottomRight" state="frozen"/>
      <selection pane="bottomRight" activeCell="D28" sqref="D28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60" customWidth="1"/>
    <col min="2" max="2" width="8.7109375" style="62" customWidth="1"/>
    <col min="3" max="3" width="13.7109375" style="62" customWidth="1"/>
    <col min="4" max="4" width="18.5703125" style="62" customWidth="1"/>
    <col min="5" max="7" width="13.7109375" style="62" customWidth="1"/>
    <col min="8" max="8" width="24.28515625" style="62" customWidth="1"/>
    <col min="9" max="9" width="30" style="62" customWidth="1"/>
    <col min="10" max="10" width="35.7109375" style="62" customWidth="1"/>
    <col min="11" max="11" width="16.28515625" style="62" customWidth="1"/>
    <col min="12" max="12" width="16.5703125" style="62" customWidth="1"/>
    <col min="13" max="13" width="17.5703125" style="62" customWidth="1"/>
    <col min="14" max="14" width="6.7109375" style="62" customWidth="1"/>
    <col min="15" max="15" width="5.7109375" style="62" customWidth="1"/>
    <col min="16" max="16" width="6.140625" style="62" customWidth="1"/>
    <col min="17" max="17" width="10.28515625" style="62" customWidth="1"/>
    <col min="18" max="18" width="13.7109375" style="62" customWidth="1"/>
    <col min="19" max="19" width="20" style="62" customWidth="1"/>
    <col min="20" max="20" width="18.28515625" style="62" customWidth="1"/>
    <col min="21" max="21" width="18" style="60" customWidth="1"/>
    <col min="22" max="22" width="13.7109375" style="60" customWidth="1"/>
    <col min="23" max="23" width="31.7109375" style="60" customWidth="1"/>
    <col min="24" max="24" width="0.7109375" style="60" customWidth="1"/>
    <col min="25" max="25" width="0" style="60" hidden="1" customWidth="1"/>
    <col min="26" max="16384" width="9.28515625" style="60" hidden="1"/>
  </cols>
  <sheetData>
    <row r="1" spans="1:26" ht="5.0999999999999996" customHeight="1"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</row>
    <row r="2" spans="1:26" ht="5.0999999999999996" customHeight="1">
      <c r="B2" s="349"/>
      <c r="C2" s="350"/>
      <c r="D2" s="350"/>
      <c r="E2" s="350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3"/>
      <c r="Q2" s="174"/>
      <c r="R2" s="174"/>
      <c r="S2" s="174"/>
      <c r="T2" s="174"/>
      <c r="U2" s="174"/>
      <c r="V2" s="174"/>
      <c r="W2" s="175"/>
    </row>
    <row r="3" spans="1:26" ht="30" customHeight="1">
      <c r="B3" s="351"/>
      <c r="C3" s="348"/>
      <c r="D3" s="348"/>
      <c r="E3" s="348"/>
      <c r="F3" s="357" t="e">
        <f>#REF!</f>
        <v>#REF!</v>
      </c>
      <c r="G3" s="358"/>
      <c r="H3" s="358"/>
      <c r="I3" s="358"/>
      <c r="J3" s="358"/>
      <c r="K3" s="358"/>
      <c r="L3" s="358"/>
      <c r="M3" s="358"/>
      <c r="N3" s="358"/>
      <c r="O3" s="359"/>
      <c r="Q3" s="357" t="s">
        <v>1</v>
      </c>
      <c r="R3" s="358"/>
      <c r="S3" s="358"/>
      <c r="T3" s="358"/>
      <c r="U3" s="358"/>
      <c r="V3" s="358"/>
      <c r="W3" s="359"/>
    </row>
    <row r="4" spans="1:26" ht="5.0999999999999996" customHeight="1">
      <c r="B4" s="351"/>
      <c r="C4" s="348"/>
      <c r="D4" s="348"/>
      <c r="E4" s="348"/>
      <c r="F4" s="61"/>
      <c r="G4" s="61"/>
      <c r="H4" s="61"/>
      <c r="I4" s="61"/>
      <c r="J4" s="61"/>
      <c r="K4" s="61"/>
      <c r="L4" s="61"/>
      <c r="M4" s="61"/>
      <c r="N4" s="61"/>
      <c r="O4" s="61"/>
      <c r="Q4" s="354"/>
      <c r="R4" s="355"/>
      <c r="S4" s="355"/>
      <c r="T4" s="355"/>
      <c r="U4" s="355"/>
      <c r="V4" s="355"/>
      <c r="W4" s="356"/>
    </row>
    <row r="5" spans="1:26" ht="20.100000000000001" customHeight="1">
      <c r="B5" s="351"/>
      <c r="C5" s="348"/>
      <c r="D5" s="348"/>
      <c r="E5" s="348"/>
      <c r="F5" s="55" t="s">
        <v>401</v>
      </c>
      <c r="G5" s="371" t="s">
        <v>3</v>
      </c>
      <c r="H5" s="372"/>
      <c r="I5" s="373"/>
      <c r="J5" s="61"/>
      <c r="K5" s="61"/>
      <c r="L5" s="55" t="s">
        <v>402</v>
      </c>
      <c r="M5" s="371" t="str">
        <f>Geral!M5</f>
        <v>8-MRL-98D-RJS</v>
      </c>
      <c r="N5" s="372"/>
      <c r="O5" s="373"/>
      <c r="Q5" s="243" t="s">
        <v>6</v>
      </c>
      <c r="R5" s="244"/>
      <c r="S5" s="245" t="s">
        <v>403</v>
      </c>
      <c r="T5" s="246"/>
      <c r="U5" s="243" t="s">
        <v>6</v>
      </c>
      <c r="V5" s="244"/>
      <c r="W5" s="50" t="s">
        <v>404</v>
      </c>
      <c r="X5" s="159"/>
    </row>
    <row r="6" spans="1:26" ht="20.100000000000001" customHeight="1">
      <c r="B6" s="351"/>
      <c r="C6" s="348"/>
      <c r="D6" s="348"/>
      <c r="E6" s="348"/>
      <c r="F6" s="57"/>
      <c r="G6" s="57" t="s">
        <v>357</v>
      </c>
      <c r="H6" s="57"/>
      <c r="I6" s="58"/>
      <c r="J6" s="61"/>
      <c r="K6" s="61"/>
      <c r="L6" s="57"/>
      <c r="M6" s="57" t="s">
        <v>405</v>
      </c>
      <c r="N6" s="57"/>
      <c r="O6" s="58"/>
      <c r="P6" s="58"/>
      <c r="Q6" s="360" t="s">
        <v>8</v>
      </c>
      <c r="R6" s="361"/>
      <c r="S6" s="232" t="s">
        <v>406</v>
      </c>
      <c r="T6" s="233"/>
      <c r="U6" s="360" t="s">
        <v>8</v>
      </c>
      <c r="V6" s="361"/>
      <c r="W6" s="50" t="s">
        <v>407</v>
      </c>
    </row>
    <row r="7" spans="1:26" ht="20.100000000000001" customHeight="1">
      <c r="B7" s="351"/>
      <c r="C7" s="348"/>
      <c r="D7" s="348"/>
      <c r="E7" s="348"/>
      <c r="F7" s="55" t="s">
        <v>408</v>
      </c>
      <c r="G7" s="368" t="s">
        <v>409</v>
      </c>
      <c r="H7" s="369"/>
      <c r="I7" s="370"/>
      <c r="J7" s="61"/>
      <c r="K7" s="61"/>
      <c r="L7" s="55" t="s">
        <v>410</v>
      </c>
      <c r="M7" s="371" t="str">
        <f>Geral!M7</f>
        <v xml:space="preserve">MARLIM	</v>
      </c>
      <c r="N7" s="372"/>
      <c r="O7" s="373"/>
      <c r="P7" s="58"/>
      <c r="Q7" s="360" t="s">
        <v>8</v>
      </c>
      <c r="R7" s="361"/>
      <c r="S7" s="238" t="s">
        <v>411</v>
      </c>
      <c r="T7" s="239"/>
      <c r="U7" s="230" t="s">
        <v>8</v>
      </c>
      <c r="V7" s="231"/>
      <c r="W7" s="50" t="s">
        <v>412</v>
      </c>
    </row>
    <row r="8" spans="1:26" ht="5.0999999999999996" customHeight="1">
      <c r="B8" s="352"/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62"/>
    </row>
    <row r="9" spans="1:26" ht="25.15" customHeight="1" thickBot="1">
      <c r="B9" s="357" t="s">
        <v>17</v>
      </c>
      <c r="C9" s="358"/>
      <c r="D9" s="358"/>
      <c r="E9" s="358"/>
      <c r="F9" s="358"/>
      <c r="G9" s="358"/>
      <c r="H9" s="358"/>
      <c r="I9" s="358"/>
      <c r="J9" s="358"/>
      <c r="K9" s="358"/>
      <c r="L9" s="358"/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9"/>
    </row>
    <row r="10" spans="1:26" ht="5.0999999999999996" customHeight="1">
      <c r="B10" s="351"/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</row>
    <row r="11" spans="1:26" s="132" customFormat="1" ht="44.65" customHeight="1">
      <c r="B11" s="161" t="s">
        <v>18</v>
      </c>
      <c r="C11" s="161" t="s">
        <v>21</v>
      </c>
      <c r="D11" s="161" t="s">
        <v>22</v>
      </c>
      <c r="E11" s="367" t="s">
        <v>23</v>
      </c>
      <c r="F11" s="367"/>
      <c r="G11" s="367"/>
      <c r="H11" s="367"/>
      <c r="I11" s="161" t="s">
        <v>413</v>
      </c>
      <c r="J11" s="161" t="s">
        <v>414</v>
      </c>
      <c r="K11" s="161" t="s">
        <v>415</v>
      </c>
      <c r="L11" s="161" t="s">
        <v>416</v>
      </c>
      <c r="M11" s="161" t="s">
        <v>417</v>
      </c>
      <c r="N11" s="367" t="s">
        <v>418</v>
      </c>
      <c r="O11" s="367"/>
      <c r="P11" s="367"/>
      <c r="Q11" s="367"/>
      <c r="R11" s="161" t="s">
        <v>28</v>
      </c>
      <c r="S11" s="161" t="s">
        <v>29</v>
      </c>
      <c r="T11" s="161" t="s">
        <v>30</v>
      </c>
      <c r="U11" s="161" t="s">
        <v>31</v>
      </c>
      <c r="V11" s="161" t="s">
        <v>32</v>
      </c>
      <c r="W11" s="161" t="s">
        <v>35</v>
      </c>
    </row>
    <row r="12" spans="1:26" s="132" customFormat="1" ht="15.75">
      <c r="B12" s="96">
        <v>1</v>
      </c>
      <c r="C12" s="160">
        <v>495008</v>
      </c>
      <c r="D12" s="75" t="s">
        <v>161</v>
      </c>
      <c r="E12" s="363" t="s">
        <v>419</v>
      </c>
      <c r="F12" s="363"/>
      <c r="G12" s="363"/>
      <c r="H12" s="363"/>
      <c r="I12" s="75" t="s">
        <v>420</v>
      </c>
      <c r="J12" s="75" t="s">
        <v>43</v>
      </c>
      <c r="K12" s="196">
        <v>46288</v>
      </c>
      <c r="L12" s="196" t="s">
        <v>43</v>
      </c>
      <c r="M12" s="196">
        <v>46288</v>
      </c>
      <c r="N12" s="345" t="s">
        <v>421</v>
      </c>
      <c r="O12" s="346"/>
      <c r="P12" s="346"/>
      <c r="Q12" s="347"/>
      <c r="R12" s="95" t="s">
        <v>43</v>
      </c>
      <c r="S12" s="95" t="s">
        <v>43</v>
      </c>
      <c r="T12" s="76" t="s">
        <v>43</v>
      </c>
      <c r="U12" s="95" t="s">
        <v>43</v>
      </c>
      <c r="V12" s="95" t="s">
        <v>43</v>
      </c>
      <c r="W12" s="75"/>
    </row>
    <row r="13" spans="1:26" s="132" customFormat="1" ht="15.75">
      <c r="B13" s="96">
        <v>2</v>
      </c>
      <c r="C13" s="160">
        <v>498056</v>
      </c>
      <c r="D13" s="75" t="s">
        <v>169</v>
      </c>
      <c r="E13" s="363" t="s">
        <v>422</v>
      </c>
      <c r="F13" s="363"/>
      <c r="G13" s="363"/>
      <c r="H13" s="363"/>
      <c r="I13" s="75" t="s">
        <v>423</v>
      </c>
      <c r="J13" s="75" t="s">
        <v>43</v>
      </c>
      <c r="K13" s="196">
        <v>46288</v>
      </c>
      <c r="L13" s="196" t="s">
        <v>43</v>
      </c>
      <c r="M13" s="196">
        <v>46277</v>
      </c>
      <c r="N13" s="345" t="s">
        <v>421</v>
      </c>
      <c r="O13" s="346"/>
      <c r="P13" s="346"/>
      <c r="Q13" s="347"/>
      <c r="R13" s="95" t="s">
        <v>43</v>
      </c>
      <c r="S13" s="95" t="s">
        <v>43</v>
      </c>
      <c r="T13" s="76" t="s">
        <v>43</v>
      </c>
      <c r="U13" s="95" t="s">
        <v>43</v>
      </c>
      <c r="V13" s="95" t="s">
        <v>43</v>
      </c>
      <c r="W13" s="75"/>
    </row>
    <row r="14" spans="1:26" s="132" customFormat="1" ht="15.6" customHeight="1">
      <c r="B14" s="96">
        <v>3</v>
      </c>
      <c r="C14" s="160">
        <v>495624</v>
      </c>
      <c r="D14" s="75" t="s">
        <v>254</v>
      </c>
      <c r="E14" s="364" t="s">
        <v>424</v>
      </c>
      <c r="F14" s="365"/>
      <c r="G14" s="365"/>
      <c r="H14" s="366"/>
      <c r="I14" s="75" t="s">
        <v>425</v>
      </c>
      <c r="J14" s="75" t="s">
        <v>43</v>
      </c>
      <c r="K14" s="196">
        <v>46206</v>
      </c>
      <c r="L14" s="196" t="s">
        <v>43</v>
      </c>
      <c r="M14" s="196">
        <v>46206</v>
      </c>
      <c r="N14" s="345" t="s">
        <v>426</v>
      </c>
      <c r="O14" s="346"/>
      <c r="P14" s="346"/>
      <c r="Q14" s="347"/>
      <c r="R14" s="95" t="s">
        <v>43</v>
      </c>
      <c r="S14" s="95" t="s">
        <v>43</v>
      </c>
      <c r="T14" s="76" t="s">
        <v>43</v>
      </c>
      <c r="U14" s="95" t="s">
        <v>43</v>
      </c>
      <c r="V14" s="95" t="s">
        <v>43</v>
      </c>
      <c r="W14" s="75"/>
    </row>
    <row r="15" spans="1:26" s="135" customFormat="1" ht="15.75">
      <c r="A15" s="134"/>
      <c r="B15" s="96">
        <v>4</v>
      </c>
      <c r="C15" s="160" t="s">
        <v>43</v>
      </c>
      <c r="D15" s="75" t="s">
        <v>333</v>
      </c>
      <c r="E15" s="363" t="s">
        <v>334</v>
      </c>
      <c r="F15" s="363"/>
      <c r="G15" s="363"/>
      <c r="H15" s="363"/>
      <c r="I15" s="75" t="s">
        <v>427</v>
      </c>
      <c r="J15" s="75" t="s">
        <v>43</v>
      </c>
      <c r="K15" s="196">
        <v>46296</v>
      </c>
      <c r="L15" s="196" t="s">
        <v>43</v>
      </c>
      <c r="M15" s="196">
        <v>46297</v>
      </c>
      <c r="N15" s="374" t="s">
        <v>428</v>
      </c>
      <c r="O15" s="374"/>
      <c r="P15" s="374"/>
      <c r="Q15" s="374"/>
      <c r="R15" s="95" t="s">
        <v>43</v>
      </c>
      <c r="S15" s="95" t="s">
        <v>43</v>
      </c>
      <c r="T15" s="76" t="s">
        <v>43</v>
      </c>
      <c r="U15" s="95" t="s">
        <v>43</v>
      </c>
      <c r="V15" s="95" t="s">
        <v>43</v>
      </c>
      <c r="W15" s="75"/>
      <c r="X15" s="75"/>
      <c r="Y15" s="75"/>
      <c r="Z15" s="75"/>
    </row>
    <row r="16" spans="1:26" s="136" customFormat="1" ht="15.75">
      <c r="B16" s="96">
        <v>5</v>
      </c>
      <c r="C16" s="75" t="s">
        <v>43</v>
      </c>
      <c r="D16" s="75" t="s">
        <v>429</v>
      </c>
      <c r="E16" s="363" t="s">
        <v>334</v>
      </c>
      <c r="F16" s="363"/>
      <c r="G16" s="363"/>
      <c r="H16" s="363"/>
      <c r="I16" s="75" t="s">
        <v>430</v>
      </c>
      <c r="J16" s="75" t="s">
        <v>431</v>
      </c>
      <c r="K16" s="196">
        <v>46206</v>
      </c>
      <c r="L16" s="196" t="s">
        <v>43</v>
      </c>
      <c r="M16" s="196">
        <v>46207</v>
      </c>
      <c r="N16" s="374" t="s">
        <v>138</v>
      </c>
      <c r="O16" s="374"/>
      <c r="P16" s="374"/>
      <c r="Q16" s="374"/>
      <c r="R16" s="75" t="s">
        <v>43</v>
      </c>
      <c r="S16" s="75" t="s">
        <v>43</v>
      </c>
      <c r="T16" s="137" t="s">
        <v>43</v>
      </c>
      <c r="U16" s="75" t="s">
        <v>43</v>
      </c>
      <c r="V16" s="75" t="s">
        <v>43</v>
      </c>
      <c r="W16" s="75"/>
      <c r="X16" s="77"/>
      <c r="Y16" s="77" t="s">
        <v>43</v>
      </c>
      <c r="Z16" s="77" t="s">
        <v>43</v>
      </c>
    </row>
    <row r="17" spans="1:23" s="132" customFormat="1" ht="15.75">
      <c r="B17" s="96">
        <v>6</v>
      </c>
      <c r="C17" s="75" t="s">
        <v>43</v>
      </c>
      <c r="D17" s="75" t="s">
        <v>432</v>
      </c>
      <c r="E17" s="364" t="s">
        <v>433</v>
      </c>
      <c r="F17" s="365"/>
      <c r="G17" s="365"/>
      <c r="H17" s="366"/>
      <c r="I17" s="75" t="s">
        <v>434</v>
      </c>
      <c r="J17" s="75" t="s">
        <v>43</v>
      </c>
      <c r="K17" s="196">
        <v>46202</v>
      </c>
      <c r="L17" s="196" t="s">
        <v>43</v>
      </c>
      <c r="M17" s="196">
        <v>46203</v>
      </c>
      <c r="N17" s="345" t="s">
        <v>421</v>
      </c>
      <c r="O17" s="346"/>
      <c r="P17" s="346"/>
      <c r="Q17" s="347"/>
      <c r="R17" s="75" t="s">
        <v>43</v>
      </c>
      <c r="S17" s="75" t="s">
        <v>43</v>
      </c>
      <c r="T17" s="95" t="s">
        <v>43</v>
      </c>
      <c r="U17" s="75" t="s">
        <v>43</v>
      </c>
      <c r="V17" s="75" t="s">
        <v>43</v>
      </c>
      <c r="W17" s="75"/>
    </row>
    <row r="18" spans="1:23" s="132" customFormat="1" ht="15.75">
      <c r="B18" s="96">
        <v>7</v>
      </c>
      <c r="C18" s="75" t="s">
        <v>43</v>
      </c>
      <c r="D18" s="206" t="s">
        <v>435</v>
      </c>
      <c r="E18" s="342" t="s">
        <v>436</v>
      </c>
      <c r="F18" s="343"/>
      <c r="G18" s="343"/>
      <c r="H18" s="344"/>
      <c r="I18" s="157" t="s">
        <v>435</v>
      </c>
      <c r="J18" s="75" t="s">
        <v>43</v>
      </c>
      <c r="K18" s="196">
        <v>46116</v>
      </c>
      <c r="L18" s="196" t="s">
        <v>43</v>
      </c>
      <c r="M18" s="196">
        <v>46115</v>
      </c>
      <c r="N18" s="345" t="s">
        <v>421</v>
      </c>
      <c r="O18" s="346"/>
      <c r="P18" s="346"/>
      <c r="Q18" s="347"/>
      <c r="R18" s="75" t="s">
        <v>43</v>
      </c>
      <c r="S18" s="75" t="s">
        <v>43</v>
      </c>
      <c r="T18" s="95" t="s">
        <v>43</v>
      </c>
      <c r="U18" s="75" t="s">
        <v>43</v>
      </c>
      <c r="V18" s="75" t="s">
        <v>43</v>
      </c>
      <c r="W18" s="75"/>
    </row>
    <row r="19" spans="1:23" s="132" customFormat="1" ht="15.6" customHeight="1">
      <c r="B19" s="96">
        <v>8</v>
      </c>
      <c r="C19" s="75" t="s">
        <v>43</v>
      </c>
      <c r="D19" s="75" t="s">
        <v>140</v>
      </c>
      <c r="E19" s="364" t="s">
        <v>141</v>
      </c>
      <c r="F19" s="365"/>
      <c r="G19" s="365"/>
      <c r="H19" s="366"/>
      <c r="I19" s="75" t="s">
        <v>437</v>
      </c>
      <c r="J19" s="75" t="s">
        <v>43</v>
      </c>
      <c r="K19" s="196">
        <v>46059</v>
      </c>
      <c r="L19" s="196" t="s">
        <v>43</v>
      </c>
      <c r="M19" s="196">
        <v>46059</v>
      </c>
      <c r="N19" s="345" t="s">
        <v>428</v>
      </c>
      <c r="O19" s="346"/>
      <c r="P19" s="346"/>
      <c r="Q19" s="347"/>
      <c r="R19" s="75" t="s">
        <v>43</v>
      </c>
      <c r="S19" s="75" t="s">
        <v>43</v>
      </c>
      <c r="T19" s="95" t="s">
        <v>43</v>
      </c>
      <c r="U19" s="75" t="s">
        <v>43</v>
      </c>
      <c r="V19" s="75" t="s">
        <v>43</v>
      </c>
      <c r="W19" s="75"/>
    </row>
    <row r="20" spans="1:23" s="132" customFormat="1" ht="15.75">
      <c r="B20" s="96">
        <v>9</v>
      </c>
      <c r="C20" s="75" t="s">
        <v>43</v>
      </c>
      <c r="D20" s="75" t="s">
        <v>151</v>
      </c>
      <c r="E20" s="375" t="s">
        <v>152</v>
      </c>
      <c r="F20" s="376"/>
      <c r="G20" s="376"/>
      <c r="H20" s="377"/>
      <c r="I20" s="75" t="s">
        <v>438</v>
      </c>
      <c r="J20" s="75" t="s">
        <v>43</v>
      </c>
      <c r="K20" s="196">
        <v>46088</v>
      </c>
      <c r="L20" s="196" t="s">
        <v>43</v>
      </c>
      <c r="M20" s="196">
        <v>46088</v>
      </c>
      <c r="N20" s="345" t="s">
        <v>428</v>
      </c>
      <c r="O20" s="346"/>
      <c r="P20" s="346"/>
      <c r="Q20" s="347"/>
      <c r="R20" s="75" t="s">
        <v>43</v>
      </c>
      <c r="S20" s="75" t="s">
        <v>43</v>
      </c>
      <c r="T20" s="95" t="s">
        <v>43</v>
      </c>
      <c r="U20" s="75" t="s">
        <v>43</v>
      </c>
      <c r="V20" s="75" t="s">
        <v>43</v>
      </c>
      <c r="W20" s="75"/>
    </row>
    <row r="21" spans="1:23" s="132" customFormat="1" ht="24.75" customHeight="1">
      <c r="B21" s="96">
        <v>10</v>
      </c>
      <c r="C21" s="75" t="s">
        <v>43</v>
      </c>
      <c r="D21" s="75" t="s">
        <v>296</v>
      </c>
      <c r="E21" s="364" t="s">
        <v>297</v>
      </c>
      <c r="F21" s="365"/>
      <c r="G21" s="365"/>
      <c r="H21" s="366"/>
      <c r="I21" s="75">
        <v>130600159</v>
      </c>
      <c r="J21" s="75" t="s">
        <v>43</v>
      </c>
      <c r="K21" s="196">
        <v>46267</v>
      </c>
      <c r="L21" s="196" t="s">
        <v>43</v>
      </c>
      <c r="M21" s="196">
        <v>46267</v>
      </c>
      <c r="N21" s="345" t="s">
        <v>421</v>
      </c>
      <c r="O21" s="346"/>
      <c r="P21" s="346"/>
      <c r="Q21" s="347"/>
      <c r="R21" s="75" t="s">
        <v>43</v>
      </c>
      <c r="S21" s="75" t="s">
        <v>43</v>
      </c>
      <c r="T21" s="75" t="s">
        <v>43</v>
      </c>
      <c r="U21" s="75" t="s">
        <v>43</v>
      </c>
      <c r="V21" s="75" t="s">
        <v>43</v>
      </c>
      <c r="W21" s="75"/>
    </row>
    <row r="22" spans="1:23" s="132" customFormat="1" ht="24.75" customHeight="1">
      <c r="B22" s="96">
        <v>11</v>
      </c>
      <c r="C22" s="75" t="s">
        <v>43</v>
      </c>
      <c r="D22" s="75" t="s">
        <v>439</v>
      </c>
      <c r="E22" s="342" t="s">
        <v>330</v>
      </c>
      <c r="F22" s="343"/>
      <c r="G22" s="343"/>
      <c r="H22" s="344"/>
      <c r="I22" s="75" t="s">
        <v>43</v>
      </c>
      <c r="J22" s="75" t="s">
        <v>43</v>
      </c>
      <c r="K22" s="196" t="s">
        <v>43</v>
      </c>
      <c r="L22" s="196" t="s">
        <v>43</v>
      </c>
      <c r="M22" s="196">
        <v>46128</v>
      </c>
      <c r="N22" s="345" t="s">
        <v>138</v>
      </c>
      <c r="O22" s="346"/>
      <c r="P22" s="346"/>
      <c r="Q22" s="347"/>
      <c r="R22" s="75" t="s">
        <v>43</v>
      </c>
      <c r="S22" s="75" t="s">
        <v>43</v>
      </c>
      <c r="T22" s="75" t="s">
        <v>43</v>
      </c>
      <c r="U22" s="75" t="s">
        <v>43</v>
      </c>
      <c r="V22" s="75" t="s">
        <v>43</v>
      </c>
      <c r="W22" s="95"/>
    </row>
    <row r="23" spans="1:23" s="132" customFormat="1" ht="15.75">
      <c r="B23" s="96">
        <v>12</v>
      </c>
      <c r="C23" s="75" t="s">
        <v>43</v>
      </c>
      <c r="D23" s="75" t="s">
        <v>440</v>
      </c>
      <c r="E23" s="342" t="s">
        <v>441</v>
      </c>
      <c r="F23" s="343"/>
      <c r="G23" s="343"/>
      <c r="H23" s="344"/>
      <c r="I23" s="157" t="s">
        <v>442</v>
      </c>
      <c r="J23" s="157" t="s">
        <v>43</v>
      </c>
      <c r="K23" s="196" t="s">
        <v>443</v>
      </c>
      <c r="L23" s="196" t="s">
        <v>43</v>
      </c>
      <c r="M23" s="196" t="s">
        <v>443</v>
      </c>
      <c r="N23" s="345" t="s">
        <v>421</v>
      </c>
      <c r="O23" s="346"/>
      <c r="P23" s="346"/>
      <c r="Q23" s="347"/>
      <c r="R23" s="75" t="s">
        <v>43</v>
      </c>
      <c r="S23" s="75" t="s">
        <v>43</v>
      </c>
      <c r="T23" s="95" t="s">
        <v>43</v>
      </c>
      <c r="U23" s="75" t="s">
        <v>43</v>
      </c>
      <c r="V23" s="75" t="s">
        <v>43</v>
      </c>
      <c r="W23" s="75"/>
    </row>
    <row r="24" spans="1:23" ht="15.75">
      <c r="A24" s="132"/>
      <c r="B24" s="96">
        <v>13</v>
      </c>
      <c r="C24" s="75" t="s">
        <v>43</v>
      </c>
      <c r="D24" s="75" t="s">
        <v>348</v>
      </c>
      <c r="E24" s="342" t="s">
        <v>444</v>
      </c>
      <c r="F24" s="343"/>
      <c r="G24" s="343"/>
      <c r="H24" s="344"/>
      <c r="I24" s="157" t="s">
        <v>445</v>
      </c>
      <c r="J24" s="157" t="s">
        <v>43</v>
      </c>
      <c r="K24" s="196">
        <v>46722</v>
      </c>
      <c r="L24" s="196" t="s">
        <v>43</v>
      </c>
      <c r="M24" s="196" t="s">
        <v>446</v>
      </c>
      <c r="N24" s="345" t="s">
        <v>421</v>
      </c>
      <c r="O24" s="346"/>
      <c r="P24" s="346"/>
      <c r="Q24" s="347"/>
      <c r="R24" s="75" t="s">
        <v>43</v>
      </c>
      <c r="S24" s="75" t="s">
        <v>43</v>
      </c>
      <c r="T24" s="95" t="s">
        <v>43</v>
      </c>
      <c r="U24" s="75" t="s">
        <v>43</v>
      </c>
      <c r="V24" s="75" t="s">
        <v>43</v>
      </c>
      <c r="W24" s="75"/>
    </row>
    <row r="25" spans="1:23" ht="15.75">
      <c r="A25" s="132"/>
      <c r="B25" s="96">
        <v>14</v>
      </c>
      <c r="C25" s="75" t="s">
        <v>43</v>
      </c>
      <c r="D25" s="75" t="s">
        <v>447</v>
      </c>
      <c r="E25" s="342" t="s">
        <v>448</v>
      </c>
      <c r="F25" s="343"/>
      <c r="G25" s="343"/>
      <c r="H25" s="344"/>
      <c r="I25" s="157" t="s">
        <v>447</v>
      </c>
      <c r="J25" s="157" t="s">
        <v>43</v>
      </c>
      <c r="K25" s="196">
        <v>46722</v>
      </c>
      <c r="L25" s="196" t="s">
        <v>43</v>
      </c>
      <c r="M25" s="196" t="s">
        <v>43</v>
      </c>
      <c r="N25" s="345" t="s">
        <v>421</v>
      </c>
      <c r="O25" s="346"/>
      <c r="P25" s="346"/>
      <c r="Q25" s="347"/>
      <c r="R25" s="75" t="s">
        <v>43</v>
      </c>
      <c r="S25" s="75" t="s">
        <v>43</v>
      </c>
      <c r="T25" s="95" t="s">
        <v>43</v>
      </c>
      <c r="U25" s="75" t="s">
        <v>43</v>
      </c>
      <c r="V25" s="75" t="s">
        <v>43</v>
      </c>
      <c r="W25" s="75" t="s">
        <v>449</v>
      </c>
    </row>
    <row r="26" spans="1:23" ht="15.75">
      <c r="A26" s="132"/>
      <c r="B26" s="96">
        <v>15</v>
      </c>
      <c r="C26" s="75" t="s">
        <v>43</v>
      </c>
      <c r="D26" s="75" t="s">
        <v>350</v>
      </c>
      <c r="E26" s="342" t="s">
        <v>351</v>
      </c>
      <c r="F26" s="343"/>
      <c r="G26" s="343"/>
      <c r="H26" s="344"/>
      <c r="I26" s="157" t="s">
        <v>450</v>
      </c>
      <c r="J26" s="157" t="s">
        <v>43</v>
      </c>
      <c r="K26" s="196">
        <v>46121</v>
      </c>
      <c r="L26" s="196" t="s">
        <v>43</v>
      </c>
      <c r="M26" s="196">
        <v>46277</v>
      </c>
      <c r="N26" s="345" t="s">
        <v>421</v>
      </c>
      <c r="O26" s="346"/>
      <c r="P26" s="346"/>
      <c r="Q26" s="347"/>
      <c r="R26" s="75" t="s">
        <v>43</v>
      </c>
      <c r="S26" s="75" t="s">
        <v>43</v>
      </c>
      <c r="T26" s="95" t="s">
        <v>43</v>
      </c>
      <c r="U26" s="75" t="s">
        <v>43</v>
      </c>
      <c r="V26" s="75" t="s">
        <v>43</v>
      </c>
      <c r="W26" s="75"/>
    </row>
    <row r="27" spans="1:23" ht="15.75">
      <c r="A27" s="132"/>
      <c r="B27" s="96">
        <v>16</v>
      </c>
      <c r="C27" s="75" t="s">
        <v>43</v>
      </c>
      <c r="D27" s="75" t="s">
        <v>354</v>
      </c>
      <c r="E27" s="342" t="s">
        <v>355</v>
      </c>
      <c r="F27" s="343"/>
      <c r="G27" s="343"/>
      <c r="H27" s="344"/>
      <c r="I27" s="157" t="s">
        <v>451</v>
      </c>
      <c r="J27" s="157" t="s">
        <v>43</v>
      </c>
      <c r="K27" s="196">
        <v>46269</v>
      </c>
      <c r="L27" s="196" t="s">
        <v>43</v>
      </c>
      <c r="M27" s="196">
        <v>46277</v>
      </c>
      <c r="N27" s="345" t="s">
        <v>421</v>
      </c>
      <c r="O27" s="346"/>
      <c r="P27" s="346"/>
      <c r="Q27" s="347"/>
      <c r="R27" s="75" t="s">
        <v>43</v>
      </c>
      <c r="S27" s="75" t="s">
        <v>43</v>
      </c>
      <c r="T27" s="95" t="s">
        <v>43</v>
      </c>
      <c r="U27" s="75" t="s">
        <v>43</v>
      </c>
      <c r="V27" s="75" t="s">
        <v>43</v>
      </c>
      <c r="W27" s="75"/>
    </row>
    <row r="28" spans="1:23" ht="15.75">
      <c r="D28" s="62" t="s">
        <v>452</v>
      </c>
      <c r="E28" s="378" t="s">
        <v>424</v>
      </c>
      <c r="F28" s="378"/>
      <c r="G28" s="378"/>
      <c r="H28" s="378"/>
      <c r="K28" s="58">
        <v>46088</v>
      </c>
    </row>
    <row r="29" spans="1:23" ht="15.75"/>
    <row r="30" spans="1:23" ht="15.75"/>
    <row r="31" spans="1:23" ht="15.75"/>
    <row r="32" spans="1:23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</sheetData>
  <autoFilter ref="A11:Y23" xr:uid="{00000000-0009-0000-0000-000002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56">
    <mergeCell ref="E28:H28"/>
    <mergeCell ref="N16:Q16"/>
    <mergeCell ref="E15:H15"/>
    <mergeCell ref="N15:Q15"/>
    <mergeCell ref="N20:Q20"/>
    <mergeCell ref="E20:H20"/>
    <mergeCell ref="N17:Q17"/>
    <mergeCell ref="E19:H19"/>
    <mergeCell ref="N19:Q19"/>
    <mergeCell ref="E11:H11"/>
    <mergeCell ref="Q5:R5"/>
    <mergeCell ref="G7:I7"/>
    <mergeCell ref="N11:Q11"/>
    <mergeCell ref="M7:O7"/>
    <mergeCell ref="G5:I5"/>
    <mergeCell ref="M5:O5"/>
    <mergeCell ref="E12:H12"/>
    <mergeCell ref="E13:H13"/>
    <mergeCell ref="N12:Q12"/>
    <mergeCell ref="E23:H23"/>
    <mergeCell ref="N23:Q23"/>
    <mergeCell ref="E21:H21"/>
    <mergeCell ref="N21:Q21"/>
    <mergeCell ref="E14:H14"/>
    <mergeCell ref="E18:H18"/>
    <mergeCell ref="N18:Q18"/>
    <mergeCell ref="E16:H16"/>
    <mergeCell ref="N13:Q13"/>
    <mergeCell ref="E17:H17"/>
    <mergeCell ref="E22:H22"/>
    <mergeCell ref="N22:Q22"/>
    <mergeCell ref="N14:Q14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  <mergeCell ref="E26:H26"/>
    <mergeCell ref="N26:Q26"/>
    <mergeCell ref="E27:H27"/>
    <mergeCell ref="N27:Q27"/>
    <mergeCell ref="E24:H24"/>
    <mergeCell ref="N24:Q24"/>
    <mergeCell ref="E25:H25"/>
    <mergeCell ref="N25:Q25"/>
  </mergeCells>
  <phoneticPr fontId="17" type="noConversion"/>
  <conditionalFormatting sqref="K24:K27 K12:M23">
    <cfRule type="cellIs" dxfId="24" priority="837" operator="equal">
      <formula>""</formula>
    </cfRule>
    <cfRule type="cellIs" dxfId="23" priority="838" operator="lessThanOrEqual">
      <formula>TODAY()</formula>
    </cfRule>
    <cfRule type="cellIs" dxfId="22" priority="839" operator="between">
      <formula>TODAY()</formula>
      <formula>TODAY()+60</formula>
    </cfRule>
    <cfRule type="cellIs" dxfId="21" priority="840" operator="greaterThanOrEqual">
      <formula>TODAY()+60</formula>
    </cfRule>
  </conditionalFormatting>
  <conditionalFormatting sqref="E20:H20">
    <cfRule type="expression" dxfId="20" priority="100">
      <formula>$D20=0</formula>
    </cfRule>
  </conditionalFormatting>
  <conditionalFormatting sqref="K21:M21">
    <cfRule type="cellIs" dxfId="19" priority="90" operator="equal">
      <formula>""</formula>
    </cfRule>
    <cfRule type="cellIs" dxfId="18" priority="91" operator="lessThanOrEqual">
      <formula>TODAY()</formula>
    </cfRule>
    <cfRule type="cellIs" dxfId="17" priority="92" operator="between">
      <formula>TODAY()</formula>
      <formula>TODAY()+60</formula>
    </cfRule>
    <cfRule type="cellIs" dxfId="16" priority="93" operator="greaterThanOrEqual">
      <formula>TODAY()+60</formula>
    </cfRule>
  </conditionalFormatting>
  <conditionalFormatting sqref="L24:M24">
    <cfRule type="cellIs" dxfId="15" priority="13" operator="equal">
      <formula>""</formula>
    </cfRule>
    <cfRule type="cellIs" dxfId="14" priority="14" operator="lessThanOrEqual">
      <formula>TODAY()</formula>
    </cfRule>
    <cfRule type="cellIs" dxfId="13" priority="15" operator="between">
      <formula>TODAY()</formula>
      <formula>TODAY()+60</formula>
    </cfRule>
    <cfRule type="cellIs" dxfId="12" priority="16" operator="greaterThanOrEqual">
      <formula>TODAY()+60</formula>
    </cfRule>
  </conditionalFormatting>
  <conditionalFormatting sqref="L25:M25">
    <cfRule type="cellIs" dxfId="11" priority="9" operator="equal">
      <formula>""</formula>
    </cfRule>
    <cfRule type="cellIs" dxfId="10" priority="10" operator="lessThanOrEqual">
      <formula>TODAY()</formula>
    </cfRule>
    <cfRule type="cellIs" dxfId="9" priority="11" operator="between">
      <formula>TODAY()</formula>
      <formula>TODAY()+60</formula>
    </cfRule>
    <cfRule type="cellIs" dxfId="8" priority="12" operator="greaterThanOrEqual">
      <formula>TODAY()+60</formula>
    </cfRule>
  </conditionalFormatting>
  <conditionalFormatting sqref="L26:M26">
    <cfRule type="cellIs" dxfId="7" priority="5" operator="equal">
      <formula>""</formula>
    </cfRule>
    <cfRule type="cellIs" dxfId="6" priority="6" operator="lessThanOrEqual">
      <formula>TODAY()</formula>
    </cfRule>
    <cfRule type="cellIs" dxfId="5" priority="7" operator="between">
      <formula>TODAY()</formula>
      <formula>TODAY()+60</formula>
    </cfRule>
    <cfRule type="cellIs" dxfId="4" priority="8" operator="greaterThanOrEqual">
      <formula>TODAY()+60</formula>
    </cfRule>
  </conditionalFormatting>
  <conditionalFormatting sqref="L27:M27">
    <cfRule type="cellIs" dxfId="3" priority="1" operator="equal">
      <formula>""</formula>
    </cfRule>
    <cfRule type="cellIs" dxfId="2" priority="2" operator="lessThanOrEqual">
      <formula>TODAY()</formula>
    </cfRule>
    <cfRule type="cellIs" dxfId="1" priority="3" operator="between">
      <formula>TODAY()</formula>
      <formula>TODAY()+60</formula>
    </cfRule>
    <cfRule type="cellIs" dxfId="0" priority="4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.75" thickBot="1"/>
    <row r="2" spans="2:6" s="9" customFormat="1" ht="45" customHeight="1" thickBot="1">
      <c r="B2" s="8"/>
      <c r="C2" s="8" t="s">
        <v>453</v>
      </c>
      <c r="E2" s="8"/>
      <c r="F2" s="8" t="s">
        <v>454</v>
      </c>
    </row>
    <row r="3" spans="2:6">
      <c r="C3" s="10" t="s">
        <v>65</v>
      </c>
      <c r="F3" s="11" t="s">
        <v>455</v>
      </c>
    </row>
    <row r="4" spans="2:6">
      <c r="C4" s="11" t="s">
        <v>455</v>
      </c>
      <c r="F4" s="12" t="s">
        <v>456</v>
      </c>
    </row>
    <row r="5" spans="2:6">
      <c r="C5" s="11" t="s">
        <v>457</v>
      </c>
      <c r="F5" s="11" t="s">
        <v>457</v>
      </c>
    </row>
    <row r="6" spans="2:6">
      <c r="C6" s="13" t="s">
        <v>186</v>
      </c>
      <c r="F6" s="11" t="s">
        <v>458</v>
      </c>
    </row>
    <row r="7" spans="2:6">
      <c r="C7" s="11" t="s">
        <v>459</v>
      </c>
      <c r="F7" s="12" t="s">
        <v>460</v>
      </c>
    </row>
    <row r="8" spans="2:6">
      <c r="C8" s="11" t="s">
        <v>458</v>
      </c>
      <c r="F8" s="11" t="s">
        <v>461</v>
      </c>
    </row>
    <row r="9" spans="2:6">
      <c r="C9" s="11" t="s">
        <v>461</v>
      </c>
      <c r="F9" s="12" t="s">
        <v>462</v>
      </c>
    </row>
    <row r="10" spans="2:6">
      <c r="C10" s="14" t="s">
        <v>462</v>
      </c>
      <c r="F10" s="12" t="s">
        <v>463</v>
      </c>
    </row>
    <row r="11" spans="2:6">
      <c r="C11" s="14" t="s">
        <v>464</v>
      </c>
      <c r="F11" s="11" t="s">
        <v>75</v>
      </c>
    </row>
    <row r="12" spans="2:6">
      <c r="C12" s="11" t="s">
        <v>75</v>
      </c>
      <c r="F12" s="12" t="s">
        <v>465</v>
      </c>
    </row>
    <row r="13" spans="2:6">
      <c r="C13" s="14" t="s">
        <v>465</v>
      </c>
      <c r="F13" s="12" t="s">
        <v>466</v>
      </c>
    </row>
    <row r="14" spans="2:6">
      <c r="C14" s="14" t="s">
        <v>466</v>
      </c>
      <c r="F14" s="12" t="s">
        <v>467</v>
      </c>
    </row>
    <row r="15" spans="2:6">
      <c r="C15" s="14" t="s">
        <v>468</v>
      </c>
      <c r="F15" s="12" t="s">
        <v>468</v>
      </c>
    </row>
    <row r="16" spans="2:6">
      <c r="C16" s="14" t="s">
        <v>469</v>
      </c>
      <c r="F16" s="12" t="s">
        <v>469</v>
      </c>
    </row>
    <row r="17" spans="3:6">
      <c r="C17" s="14" t="s">
        <v>470</v>
      </c>
      <c r="F17" s="12" t="s">
        <v>470</v>
      </c>
    </row>
    <row r="18" spans="3:6">
      <c r="C18" s="11" t="s">
        <v>162</v>
      </c>
      <c r="F18" s="12" t="s">
        <v>471</v>
      </c>
    </row>
    <row r="19" spans="3:6">
      <c r="C19" s="14" t="s">
        <v>472</v>
      </c>
      <c r="F19" s="11" t="s">
        <v>162</v>
      </c>
    </row>
    <row r="20" spans="3:6">
      <c r="C20" s="11" t="s">
        <v>142</v>
      </c>
      <c r="F20" s="12" t="s">
        <v>473</v>
      </c>
    </row>
    <row r="21" spans="3:6">
      <c r="C21" s="11" t="s">
        <v>47</v>
      </c>
      <c r="F21" s="12" t="s">
        <v>472</v>
      </c>
    </row>
    <row r="22" spans="3:6">
      <c r="C22" s="11" t="s">
        <v>474</v>
      </c>
      <c r="F22" s="11" t="s">
        <v>142</v>
      </c>
    </row>
    <row r="23" spans="3:6">
      <c r="C23" s="11" t="s">
        <v>170</v>
      </c>
      <c r="F23" s="12" t="s">
        <v>475</v>
      </c>
    </row>
    <row r="24" spans="3:6">
      <c r="C24" s="11" t="s">
        <v>476</v>
      </c>
      <c r="F24" s="11" t="s">
        <v>47</v>
      </c>
    </row>
    <row r="25" spans="3:6">
      <c r="C25" s="14" t="s">
        <v>477</v>
      </c>
      <c r="F25" s="11" t="s">
        <v>474</v>
      </c>
    </row>
    <row r="26" spans="3:6">
      <c r="C26" s="11" t="s">
        <v>478</v>
      </c>
      <c r="F26" s="11" t="s">
        <v>170</v>
      </c>
    </row>
    <row r="27" spans="3:6">
      <c r="C27" s="11" t="s">
        <v>479</v>
      </c>
      <c r="F27" s="11" t="s">
        <v>476</v>
      </c>
    </row>
    <row r="28" spans="3:6">
      <c r="C28" s="11" t="s">
        <v>480</v>
      </c>
      <c r="F28" s="12" t="s">
        <v>477</v>
      </c>
    </row>
    <row r="29" spans="3:6">
      <c r="C29" s="13" t="s">
        <v>481</v>
      </c>
      <c r="F29" s="11" t="s">
        <v>478</v>
      </c>
    </row>
    <row r="30" spans="3:6">
      <c r="C30" s="14" t="s">
        <v>482</v>
      </c>
      <c r="F30" s="11" t="s">
        <v>479</v>
      </c>
    </row>
    <row r="31" spans="3:6">
      <c r="C31" s="11" t="s">
        <v>39</v>
      </c>
      <c r="F31" s="11" t="s">
        <v>480</v>
      </c>
    </row>
    <row r="32" spans="3:6">
      <c r="C32" s="14" t="s">
        <v>483</v>
      </c>
      <c r="F32" s="12" t="s">
        <v>482</v>
      </c>
    </row>
    <row r="33" spans="3:6">
      <c r="C33" s="11" t="s">
        <v>484</v>
      </c>
      <c r="F33" s="11" t="s">
        <v>39</v>
      </c>
    </row>
    <row r="34" spans="3:6">
      <c r="C34" s="11" t="s">
        <v>485</v>
      </c>
      <c r="F34" s="12" t="s">
        <v>483</v>
      </c>
    </row>
    <row r="35" spans="3:6">
      <c r="C35" s="11" t="s">
        <v>486</v>
      </c>
      <c r="F35" s="11" t="s">
        <v>484</v>
      </c>
    </row>
    <row r="36" spans="3:6">
      <c r="C36" s="11" t="s">
        <v>487</v>
      </c>
      <c r="F36" s="11" t="s">
        <v>485</v>
      </c>
    </row>
    <row r="37" spans="3:6">
      <c r="C37" s="14" t="s">
        <v>488</v>
      </c>
      <c r="F37" s="11" t="s">
        <v>486</v>
      </c>
    </row>
    <row r="38" spans="3:6">
      <c r="C38" s="14" t="s">
        <v>489</v>
      </c>
      <c r="F38" s="12" t="s">
        <v>488</v>
      </c>
    </row>
    <row r="39" spans="3:6">
      <c r="C39" s="14" t="s">
        <v>490</v>
      </c>
      <c r="F39" s="12" t="s">
        <v>489</v>
      </c>
    </row>
    <row r="40" spans="3:6">
      <c r="C40" s="11" t="s">
        <v>491</v>
      </c>
      <c r="F40" s="12" t="s">
        <v>490</v>
      </c>
    </row>
    <row r="41" spans="3:6">
      <c r="C41" s="14" t="s">
        <v>492</v>
      </c>
      <c r="F41" s="11" t="s">
        <v>491</v>
      </c>
    </row>
    <row r="42" spans="3:6">
      <c r="C42" s="14" t="s">
        <v>493</v>
      </c>
      <c r="F42" s="12" t="s">
        <v>494</v>
      </c>
    </row>
    <row r="43" spans="3:6" ht="15.75" thickBot="1">
      <c r="C43" s="15" t="s">
        <v>193</v>
      </c>
      <c r="F43" s="12" t="s">
        <v>495</v>
      </c>
    </row>
    <row r="44" spans="3:6">
      <c r="F44" s="12" t="s">
        <v>492</v>
      </c>
    </row>
    <row r="45" spans="3:6">
      <c r="F45" s="12" t="s">
        <v>493</v>
      </c>
    </row>
    <row r="46" spans="3:6" ht="15.75" thickBot="1">
      <c r="F46" s="16" t="s">
        <v>496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8.25">
      <c r="B5" s="25" t="s">
        <v>497</v>
      </c>
      <c r="C5" s="25" t="s">
        <v>498</v>
      </c>
      <c r="D5" s="26" t="s">
        <v>499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500</v>
      </c>
      <c r="D7" s="30" t="s">
        <v>501</v>
      </c>
    </row>
    <row r="8" spans="2:4">
      <c r="B8" s="28">
        <v>4</v>
      </c>
      <c r="C8" s="29" t="s">
        <v>502</v>
      </c>
      <c r="D8" s="30" t="s">
        <v>503</v>
      </c>
    </row>
    <row r="9" spans="2:4">
      <c r="B9" s="28">
        <v>3</v>
      </c>
      <c r="C9" s="29" t="s">
        <v>504</v>
      </c>
      <c r="D9" s="30" t="s">
        <v>505</v>
      </c>
    </row>
    <row r="10" spans="2:4">
      <c r="B10" s="28">
        <v>1</v>
      </c>
      <c r="C10" s="29" t="s">
        <v>506</v>
      </c>
      <c r="D10" s="30" t="s">
        <v>507</v>
      </c>
    </row>
    <row r="11" spans="2:4">
      <c r="B11" s="28">
        <v>1</v>
      </c>
      <c r="C11" s="29" t="s">
        <v>508</v>
      </c>
      <c r="D11" s="30" t="s">
        <v>509</v>
      </c>
    </row>
    <row r="12" spans="2:4">
      <c r="B12" s="28">
        <v>1</v>
      </c>
      <c r="C12" s="29" t="s">
        <v>510</v>
      </c>
      <c r="D12" s="30" t="s">
        <v>511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A7C28A3C-20BB-4CDB-A980-FE92ABCE4689}"/>
</file>

<file path=customXml/itemProps3.xml><?xml version="1.0" encoding="utf-8"?>
<ds:datastoreItem xmlns:ds="http://schemas.openxmlformats.org/officeDocument/2006/customXml" ds:itemID="{C86D0977-E3B4-4E4C-AD1E-806005023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Anderson Santana</cp:lastModifiedBy>
  <cp:revision/>
  <dcterms:created xsi:type="dcterms:W3CDTF">2019-02-19T14:15:50Z</dcterms:created>
  <dcterms:modified xsi:type="dcterms:W3CDTF">2026-01-31T06:16:32Z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