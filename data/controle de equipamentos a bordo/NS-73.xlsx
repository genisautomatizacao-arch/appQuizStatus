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oceaneering.sharepoint.com/sites/G-DPROperations/Job Data Log/JOBS EM OPERAÇÃO/SS-73/JOB-229041-160_SS-73/02-OPERAÇÃO/01-CHECKLISTS/02-CONTROLE DE EQUIPAMENTOS A BORDO/03 - MARÇO/"/>
    </mc:Choice>
  </mc:AlternateContent>
  <xr:revisionPtr revIDLastSave="925" documentId="11_E65B247E9AA28FC3A6D1C6075A98F50FC09A31C2" xr6:coauthVersionLast="47" xr6:coauthVersionMax="47" xr10:uidLastSave="{086C5BFA-836A-4444-AC21-A58C8D1E16E3}"/>
  <bookViews>
    <workbookView xWindow="-110" yWindow="-110" windowWidth="19420" windowHeight="11500" tabRatio="786" firstSheet="2" xr2:uid="{00000000-000D-0000-FFFF-FFFF00000000}"/>
  </bookViews>
  <sheets>
    <sheet name="Geral" sheetId="6" r:id="rId1"/>
    <sheet name="Consumíveis" sheetId="22" r:id="rId2"/>
    <sheet name="Controle de Eslingas" sheetId="16" r:id="rId3"/>
    <sheet name="Controle de mangueiras" sheetId="23" r:id="rId4"/>
    <sheet name="High Torc" sheetId="18" state="hidden" r:id="rId5"/>
    <sheet name="Dropdown" sheetId="19" state="hidden" r:id="rId6"/>
    <sheet name="Plan6" sheetId="20" state="hidden" r:id="rId7"/>
    <sheet name="VERIFICADOS" sheetId="24" r:id="rId8"/>
  </sheets>
  <definedNames>
    <definedName name="_xlnm._FilterDatabase" localSheetId="2" hidden="1">'Controle de Eslingas'!$B$9:$W$47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6" l="1"/>
  <c r="B2" i="23" l="1"/>
  <c r="G2" i="23"/>
  <c r="M5" i="16" l="1"/>
  <c r="G5" i="16"/>
  <c r="B46" i="16" l="1"/>
  <c r="B47" i="16" l="1"/>
  <c r="B136" i="6" l="1"/>
  <c r="T7" i="22" l="1"/>
  <c r="T6" i="22"/>
  <c r="T5" i="22"/>
  <c r="P7" i="22"/>
  <c r="P6" i="22"/>
  <c r="P5" i="22"/>
  <c r="K7" i="22"/>
  <c r="K5" i="22"/>
  <c r="G7" i="22"/>
  <c r="G5" i="22"/>
  <c r="B24" i="22" l="1"/>
  <c r="B25" i="22" s="1"/>
  <c r="B26" i="22" s="1"/>
  <c r="B53" i="22" l="1"/>
  <c r="B27" i="22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/>
  <c r="B47" i="22"/>
  <c r="B48" i="22"/>
  <c r="B49" i="22"/>
  <c r="B50" i="22"/>
  <c r="B51" i="22"/>
  <c r="B52" i="22"/>
  <c r="R7" i="22"/>
  <c r="N7" i="22"/>
  <c r="J7" i="22"/>
  <c r="F7" i="22"/>
  <c r="R6" i="22"/>
  <c r="N6" i="22"/>
  <c r="R5" i="22"/>
  <c r="N5" i="22"/>
  <c r="J5" i="22"/>
  <c r="F5" i="22"/>
  <c r="N3" i="22"/>
  <c r="F3" i="22"/>
  <c r="B176" i="6" l="1"/>
  <c r="L7" i="16" l="1"/>
  <c r="L5" i="16"/>
  <c r="F7" i="16"/>
  <c r="F5" i="16"/>
  <c r="Q3" i="16"/>
  <c r="F3" i="16"/>
  <c r="N134" i="6" l="1"/>
  <c r="N132" i="6"/>
  <c r="N125" i="6"/>
  <c r="N117" i="6"/>
  <c r="N115" i="6"/>
  <c r="N113" i="6"/>
  <c r="N112" i="6"/>
  <c r="N67" i="6"/>
  <c r="N64" i="6"/>
  <c r="N62" i="6"/>
  <c r="N56" i="6"/>
  <c r="N44" i="6"/>
  <c r="N35" i="6"/>
  <c r="N26" i="6"/>
  <c r="N13" i="6"/>
  <c r="B12" i="6" l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Azeredo Mendonça - PrestServ</author>
  </authors>
  <commentList>
    <comment ref="L1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Marcos Azeredo Mendonça - PrestServ:</t>
        </r>
        <r>
          <rPr>
            <sz val="9"/>
            <color indexed="81"/>
            <rFont val="Segoe UI"/>
            <family val="2"/>
          </rPr>
          <t xml:space="preserve">
1,00 x 1,00 x 1,00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Mendonca</author>
  </authors>
  <commentList>
    <comment ref="J10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 xml:space="preserve">Inserir exemplo:
</t>
        </r>
        <r>
          <rPr>
            <sz val="9"/>
            <color indexed="81"/>
            <rFont val="Segoe UI"/>
            <family val="2"/>
          </rPr>
          <t xml:space="preserve">4P x 1.1/4''x  22,3 T x 5,1 m (Quantidade de partes x Bitola x Capacidade em Toneladas x Comprimento em metros).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tc={7FBD82B3-B1C1-4691-A84C-4750F652D2DE}</author>
    <author>tc={C89E3D1A-B537-4C4F-A2C3-BBBADFC6E53C}</author>
    <author>tc={F01C406E-FE39-4C94-84C4-5EEE5F03DF9E}</author>
    <author>tc={19BA639D-BF0D-42BC-8747-5E09EAFB63FF}</author>
    <author>tc={E4B2CA7C-9429-4580-B3B9-6DE8FF7AFE1B}</author>
  </authors>
  <commentList>
    <comment ref="B17" authorId="0" shapeId="0" xr:uid="{7FBD82B3-B1C1-4691-A84C-4750F652D2DE}">
      <text>
        <t>[Threaded comment]
Your version of Excel allows you to read this threaded comment; however, any edits to it will get removed if the file is opened in a newer version of Excel. Learn more: https://go.microsoft.com/fwlink/?linkid=870924
Comment:
    Os dados da eslinga são dados retidos do histórico do checklist.</t>
      </text>
    </comment>
    <comment ref="B25" authorId="1" shapeId="0" xr:uid="{C89E3D1A-B537-4C4F-A2C3-BBBADFC6E5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Historico preservado. Não é possivel visalizar em loco </t>
      </text>
    </comment>
    <comment ref="B37" authorId="2" shapeId="0" xr:uid="{F01C406E-FE39-4C94-84C4-5EEE5F03DF9E}">
      <text>
        <t>[Threaded comment]
Your version of Excel allows you to read this threaded comment; however, any edits to it will get removed if the file is opened in a newer version of Excel. Learn more: https://go.microsoft.com/fwlink/?linkid=870924
Comment:
    Historico preservado. Não é possivel visalizar em loco</t>
      </text>
    </comment>
    <comment ref="B38" authorId="3" shapeId="0" xr:uid="{19BA639D-BF0D-42BC-8747-5E09EAFB63FF}">
      <text>
        <t>[Threaded comment]
Your version of Excel allows you to read this threaded comment; however, any edits to it will get removed if the file is opened in a newer version of Excel. Learn more: https://go.microsoft.com/fwlink/?linkid=870924
Comment:
    Historico preservado. Não é possivel visalizar em loco.</t>
      </text>
    </comment>
    <comment ref="B99" authorId="4" shapeId="0" xr:uid="{E4B2CA7C-9429-4580-B3B9-6DE8FF7AFE1B}">
      <text>
        <t>[Threaded comment]
Your version of Excel allows you to read this threaded comment; however, any edits to it will get removed if the file is opened in a newer version of Excel. Learn more: https://go.microsoft.com/fwlink/?linkid=870924
Comment:
    Historico preservado</t>
      </text>
    </comment>
  </commentList>
</comments>
</file>

<file path=xl/sharedStrings.xml><?xml version="1.0" encoding="utf-8"?>
<sst xmlns="http://schemas.openxmlformats.org/spreadsheetml/2006/main" count="1486" uniqueCount="686">
  <si>
    <t>Controle de Equipamentos Offshore</t>
  </si>
  <si>
    <t>Equipe a bordo</t>
  </si>
  <si>
    <t>Sonda:</t>
  </si>
  <si>
    <t>SS-73</t>
  </si>
  <si>
    <t>Poço:</t>
  </si>
  <si>
    <t>7-BAZ-3-ESS</t>
  </si>
  <si>
    <t xml:space="preserve">Supervisor </t>
  </si>
  <si>
    <t xml:space="preserve">JACKSON FERREIRA </t>
  </si>
  <si>
    <t>RAFAEL DAMÁSIO</t>
  </si>
  <si>
    <t>Técnico</t>
  </si>
  <si>
    <t>YASMIN FERREIRA</t>
  </si>
  <si>
    <t>RAFAEL BELO</t>
  </si>
  <si>
    <t>Data:</t>
  </si>
  <si>
    <t>Campo:</t>
  </si>
  <si>
    <t>BALEIA AZUL</t>
  </si>
  <si>
    <t xml:space="preserve">GENIS DA HORA </t>
  </si>
  <si>
    <t>WAGNER SMITH</t>
  </si>
  <si>
    <t>EQUIPAMENTOS</t>
  </si>
  <si>
    <t>Item</t>
  </si>
  <si>
    <t>Equip.</t>
  </si>
  <si>
    <t>Qtd</t>
  </si>
  <si>
    <t>NP</t>
  </si>
  <si>
    <t>NS</t>
  </si>
  <si>
    <t>Descrição do item</t>
  </si>
  <si>
    <t>Localização</t>
  </si>
  <si>
    <t>Dimensões em metros
(C x L x A)</t>
  </si>
  <si>
    <t>Peso (Kg)</t>
  </si>
  <si>
    <t>Eslinga</t>
  </si>
  <si>
    <t>Solic. Material</t>
  </si>
  <si>
    <t>RT de Embarque</t>
  </si>
  <si>
    <t>Data de Embarque</t>
  </si>
  <si>
    <t>RT de Desembarque</t>
  </si>
  <si>
    <t>Data de Desembarque</t>
  </si>
  <si>
    <t>Origem</t>
  </si>
  <si>
    <t>Destino</t>
  </si>
  <si>
    <t>Observação</t>
  </si>
  <si>
    <t>JUNTAS</t>
  </si>
  <si>
    <t>N/A</t>
  </si>
  <si>
    <t>STRESS JOINT 43FT</t>
  </si>
  <si>
    <t>ok</t>
  </si>
  <si>
    <t>STRESS JOINT TRANSPORT SKID</t>
  </si>
  <si>
    <t>MECHANICAL RAPID CONNECTOR</t>
  </si>
  <si>
    <t>PIPE DRILL 6.5/8" - XT-MF 69</t>
  </si>
  <si>
    <t>Em operação</t>
  </si>
  <si>
    <t>NPAE-00958 / PPJ-019</t>
  </si>
  <si>
    <t>PUP JOINT 8' - XT-MF 69</t>
  </si>
  <si>
    <t>Pipe Deck</t>
  </si>
  <si>
    <t>NPAE-00959 / PPJ-020</t>
  </si>
  <si>
    <t>PUP JOINT 10' - XT-MF 69</t>
  </si>
  <si>
    <t>NPAE-00967 / PPJ-001</t>
  </si>
  <si>
    <t>PUP JOINT 20' - XT-MF 69</t>
  </si>
  <si>
    <t>Se encontra na JRC</t>
  </si>
  <si>
    <t>SSUB-001</t>
  </si>
  <si>
    <t>SAVER SUB BOX X BOX</t>
  </si>
  <si>
    <t>SSUB-011</t>
  </si>
  <si>
    <t>SAVER SUB BOX X PIN</t>
  </si>
  <si>
    <t>Dpr crossover transport basket</t>
  </si>
  <si>
    <t>SAVER SUB PIN X PIN</t>
  </si>
  <si>
    <t>LUBRICATOR VALVE ASSEMBLY</t>
  </si>
  <si>
    <t>RISER ACCESSORIES TRANSPORT BASKET</t>
  </si>
  <si>
    <t>ADAPTADORES</t>
  </si>
  <si>
    <t>ADAPTER HUB 11” X RISER MC 12D</t>
  </si>
  <si>
    <t>ADAPTER HUB 11” X RISER MC 12DX</t>
  </si>
  <si>
    <t>ADAPTER XT-MF69 (BOX) X MC 8D (BOX)</t>
  </si>
  <si>
    <t>ADAPTER XT-MF69 (BOX) X MC 8DX (BOX)</t>
  </si>
  <si>
    <t>ADH-012</t>
  </si>
  <si>
    <t>ADAPTER HUB 11” X FLANGE 11” 5X1</t>
  </si>
  <si>
    <t>Main Deck</t>
  </si>
  <si>
    <t>DECK AO LADO DO CONTAINER DE OFICINA</t>
  </si>
  <si>
    <t>ADH-013</t>
  </si>
  <si>
    <t>ADAPTER HUB 11” X FLANGE 11” 4X2</t>
  </si>
  <si>
    <t>ADAPTER HUB 11” X FLANGE 11” 10K</t>
  </si>
  <si>
    <t>ADH-022</t>
  </si>
  <si>
    <t>ADAPTER HUB 11” X FLANGE 13 5/8” 5X1</t>
  </si>
  <si>
    <t>HUB ADAPTER TRANSPORT SKID</t>
  </si>
  <si>
    <t>CROSSOVER'S</t>
  </si>
  <si>
    <t>CRO-004</t>
  </si>
  <si>
    <t>CROSSOVER DPR X 4 ½” IF</t>
  </si>
  <si>
    <t xml:space="preserve">Drill Floor </t>
  </si>
  <si>
    <t>CRO-013</t>
  </si>
  <si>
    <t>CROSSOVER DPR X 6 5/8” VAM DPR SR</t>
  </si>
  <si>
    <t>EM OPERACÇÃO</t>
  </si>
  <si>
    <t>CRO-015</t>
  </si>
  <si>
    <t>CROSSOVER DPR X 6 5/8” VAM DPR HP</t>
  </si>
  <si>
    <t>DPR crossover transport basket</t>
  </si>
  <si>
    <t>100T14324</t>
  </si>
  <si>
    <t>CROSSOVER DPR X 6 5/8” FH</t>
  </si>
  <si>
    <t>CRO-031</t>
  </si>
  <si>
    <t>CROSSOVER DPR X DP 5” NC50</t>
  </si>
  <si>
    <t xml:space="preserve"> CONTENIER 100T14324</t>
  </si>
  <si>
    <t>CROSSOVER STUB ACME PIN X XT-MF69 BOX</t>
  </si>
  <si>
    <t>CROSSOVER STUB ACME PIN X XT-MF69 PIN</t>
  </si>
  <si>
    <t>CRO-036</t>
  </si>
  <si>
    <t>CROSSOVER DPR X SWIVEL</t>
  </si>
  <si>
    <t>Cesta de XO, CBX-224</t>
  </si>
  <si>
    <t>DPR CROSSOVER TRANSPORT BASKET</t>
  </si>
  <si>
    <t>SFTUC-004</t>
  </si>
  <si>
    <t>SFT UPPER CROSSOVER 8 ¼” STUB ACME X 8 ¼” ACME BOWEN</t>
  </si>
  <si>
    <t>OK</t>
  </si>
  <si>
    <t>SFTUC-008</t>
  </si>
  <si>
    <t>SFT UPPER CROSSOVER 8 ¼” STUB ACME X 4 7/8” STUB ACME</t>
  </si>
  <si>
    <t>Proa Bombordo</t>
  </si>
  <si>
    <t>DENTRO DA CESTA CESTA BDU-171</t>
  </si>
  <si>
    <t>SFTUC-011</t>
  </si>
  <si>
    <t>SFT UPPER CROSSOVER 8 ¼” STUB ACME X 9” OTIS</t>
  </si>
  <si>
    <t>SFT UPPER  CROSSOVER TEST PIN 8 ¼” STUB ACME</t>
  </si>
  <si>
    <t>SFT</t>
  </si>
  <si>
    <t>SFT-003</t>
  </si>
  <si>
    <t>SURFACE FLOW TREE</t>
  </si>
  <si>
    <t>SWJ-002</t>
  </si>
  <si>
    <t>SWIVEL JOINT</t>
  </si>
  <si>
    <t>SURFACE FLOW TREE TRANSPORT SKID</t>
  </si>
  <si>
    <t>CFP-005</t>
  </si>
  <si>
    <t>FLEXIBLE FLOW LINE PIPE ASSEMBLY</t>
  </si>
  <si>
    <t>FLEXIBLE FLOW LINE PIPE TRANSPORT BASKET</t>
  </si>
  <si>
    <t>TSB-012</t>
  </si>
  <si>
    <t>SWIVEL LOWER TEST BOX</t>
  </si>
  <si>
    <t>Workshop Container</t>
  </si>
  <si>
    <t>CWJ-007/ CWJ-006</t>
  </si>
  <si>
    <t>CASED WEAR JOINT</t>
  </si>
  <si>
    <t>Proa</t>
  </si>
  <si>
    <t>ARMAZENADA NO CBAD647</t>
  </si>
  <si>
    <t>CARRETÉIS</t>
  </si>
  <si>
    <t>OPEN SEA REELER</t>
  </si>
  <si>
    <t>OPEN SEA UMBILICAL 38W 2000M</t>
  </si>
  <si>
    <t>PROTETOR DO CONECTOR ELÉTRICO ODI DO UEH</t>
  </si>
  <si>
    <t>R-183</t>
  </si>
  <si>
    <t>TUBING HANGER REELER</t>
  </si>
  <si>
    <t>U-201</t>
  </si>
  <si>
    <t>TUBING HANGER UMBILICAL 13W+HCR 2000M</t>
  </si>
  <si>
    <t>HCR ANNULUS CIRCULATION REELER 2000M</t>
  </si>
  <si>
    <t>HCR ANNULUS CIRCULATION UMBILICAL  2000M X 1.1/4”</t>
  </si>
  <si>
    <t>HYDRAULIC ADAPTER FOR 2 HCR CONNECTION - ASSEMBLY</t>
  </si>
  <si>
    <t>LUBRICATOR VALVE CONTROL REELER</t>
  </si>
  <si>
    <t>LUBRICATOR VALVE CONTROL UMBILICAL</t>
  </si>
  <si>
    <t>HPU / CONTROL CABIN</t>
  </si>
  <si>
    <t>HPU-239</t>
  </si>
  <si>
    <t>HPU W/ INTEGRATED OPEN SEA CONTROL PANEL</t>
  </si>
  <si>
    <t>HPU-AC-2A</t>
  </si>
  <si>
    <t>ELECTRICAL JUMPER HPU X RIG - POWER</t>
  </si>
  <si>
    <t>ELECTRICAL JUMPER HPU X INCLINOMETER - SIGNAL</t>
  </si>
  <si>
    <t>ELECTRICAL JUMPER HPU X OS REELER - SIGNAL</t>
  </si>
  <si>
    <t>DJ-059/068/069/051/058</t>
  </si>
  <si>
    <t>ELECTRICAL JUMPER HPU X TH REELER - SIGNAL</t>
  </si>
  <si>
    <t>DJ-53/59/65 DENTRO BAG PRÓX. AO CONTEINER OFICINA / DJ-68 EM OPERAÇÃO.</t>
  </si>
  <si>
    <t>WV-033</t>
  </si>
  <si>
    <t>CONTROL CABIN</t>
  </si>
  <si>
    <t>ELECTRICAL JUMPER CONTROL CABIN X RIG - POWER</t>
  </si>
  <si>
    <t>ELECTRICAL JUMPER CONTROL CABIN X RCP - POWER</t>
  </si>
  <si>
    <t>RCP-EN-5B/RCP-EN-6B/RCP-AC-1B</t>
  </si>
  <si>
    <t>ELECTRICAL JUMPER CONTROL CABIN X RCP - COM</t>
  </si>
  <si>
    <t>ESD-CN-1B</t>
  </si>
  <si>
    <t>ELECTRICAL JUMPER CONTROL CABIN X ESDP - SIGNAL</t>
  </si>
  <si>
    <t>HPU-AC-3B</t>
  </si>
  <si>
    <t>ELECTRICAL JUMPER CONTROL CABIN X HPU - POWER</t>
  </si>
  <si>
    <t>HPU-AC-4B</t>
  </si>
  <si>
    <t>HPU-EN-1B</t>
  </si>
  <si>
    <t>ELECTRICAL JUMPER CONTROL CABIN X HPU - COM</t>
  </si>
  <si>
    <t>HPU-EN-2B</t>
  </si>
  <si>
    <t>ELECTRICAL JUMPER CONTROL CABIN X THCP - POWER</t>
  </si>
  <si>
    <t>ELECTRICAL JUMPER CONTROL CABIN X THCP - COM</t>
  </si>
  <si>
    <t>PNL-015</t>
  </si>
  <si>
    <t>REMOTE CONTROL PANEL – RCP</t>
  </si>
  <si>
    <t>Cabine Sondador</t>
  </si>
  <si>
    <t>PNL-018</t>
  </si>
  <si>
    <t>EMERGENCY SHUTDOWN PANEL – ESDP</t>
  </si>
  <si>
    <t>TUBING HANGER CONTROL PANEL</t>
  </si>
  <si>
    <t>JUMPER'S</t>
  </si>
  <si>
    <t>HJ010/HJ011/HJ08</t>
  </si>
  <si>
    <t>JUMPER HYDRAULIC</t>
  </si>
  <si>
    <t xml:space="preserve">HJ-002 </t>
  </si>
  <si>
    <t>HJ-036</t>
  </si>
  <si>
    <t>INCLINOMETRO / JUMPER Y</t>
  </si>
  <si>
    <t>SINC-OO2</t>
  </si>
  <si>
    <t xml:space="preserve">SENSOR INCLINOMETER SUBSEA DUAL </t>
  </si>
  <si>
    <t>Cabin Control</t>
  </si>
  <si>
    <t>EFL-111 / EFL112</t>
  </si>
  <si>
    <t xml:space="preserve">ELECTRICAL JUMPER CONNECTION UMBILICAL X INCLINOMETER </t>
  </si>
  <si>
    <t>Caixa de sobressalentes</t>
  </si>
  <si>
    <t>INCD-003</t>
  </si>
  <si>
    <t>INCLINOMETER CLAMPING DEVICE  ASSEMBLY</t>
  </si>
  <si>
    <t>EJ-015</t>
  </si>
  <si>
    <t>ELECTRICAL JUMPER 7W 14M FOR CONNECTION W/ EDP</t>
  </si>
  <si>
    <t>EJY001</t>
  </si>
  <si>
    <t>ELECTRICAL JUMPER (Y) - OS UMBILICAL x EFL</t>
  </si>
  <si>
    <t>CLAMP'S</t>
  </si>
  <si>
    <t>CLAMPS TO ATTACH OS UMBILICAL TO STANDARD RISER JOINTS 6 5/8”</t>
  </si>
  <si>
    <t>CLAMPS TO ATTACH OS UMBILICAL TO RIG RISER JOINTS 5”</t>
  </si>
  <si>
    <t>CLP 020</t>
  </si>
  <si>
    <t>CLAMPS TO ATTACH TH UMBILICAL TO STANDARD RISER JOINTS 6 5/8”</t>
  </si>
  <si>
    <t>Armazenado no 10DRY14464 riser deck</t>
  </si>
  <si>
    <t>CLAMPS TO ATTACH TH UMBILICAL TO RIG RISER JOINTS 5”</t>
  </si>
  <si>
    <t xml:space="preserve"> 10DRY14464</t>
  </si>
  <si>
    <t>UMBILICAL CLAMP TRANSPORT BASKET</t>
  </si>
  <si>
    <t>SAIDA DO CASARIO / RISER DECK</t>
  </si>
  <si>
    <t>TLCMP-008 TLCMP-005</t>
  </si>
  <si>
    <t>CLAMP MAKE UP TOOL</t>
  </si>
  <si>
    <t>SHEAVES</t>
  </si>
  <si>
    <t>80° SHEAVE - HCR AND LUBRICATOR VALVE UMBILICAL</t>
  </si>
  <si>
    <t>MAIN SHEAVE - HCR UMBILICAL</t>
  </si>
  <si>
    <t>180º SHEAVE - HCR UMBILICAL</t>
  </si>
  <si>
    <t>OPERAÇÃO / 183 LATERAL AME2055</t>
  </si>
  <si>
    <t xml:space="preserve"> TDS-190</t>
  </si>
  <si>
    <t>MAIN SHEAVE - OS MODE UMBILICAL AND TH MODE UMBILICAL</t>
  </si>
  <si>
    <t>Popa Bombordo</t>
  </si>
  <si>
    <t>AO LADO DA SACARIA</t>
  </si>
  <si>
    <t xml:space="preserve"> TDS-196</t>
  </si>
  <si>
    <t>180º SHEAVE - OS MODE UMBILICAL AND TH MODE UMBILICAL</t>
  </si>
  <si>
    <t>TDS-196 NO CONTAINER HDBU014253</t>
  </si>
  <si>
    <t>TDS-197 / TDS-201</t>
  </si>
  <si>
    <t>80° SHEAVE - OS MODE UMBILICAL AND TH MODE UMBILICAL</t>
  </si>
  <si>
    <t>AO LADO DA CABINE DE CONTROLE</t>
  </si>
  <si>
    <t>TDS-203</t>
  </si>
  <si>
    <t xml:space="preserve">80º SHEAVE - CASED WEAR JOINT + DISPOSITIVO </t>
  </si>
  <si>
    <t>MANOBRA</t>
  </si>
  <si>
    <t>MES-04</t>
  </si>
  <si>
    <t>MAIN ELEVATOR</t>
  </si>
  <si>
    <t>MAIN ELEVATOR TRANSPORT SKID</t>
  </si>
  <si>
    <t>TF-011</t>
  </si>
  <si>
    <t>MAIN ELEVATOR MOUNTING FRAME</t>
  </si>
  <si>
    <t>UPPER SPREADER BAR</t>
  </si>
  <si>
    <t>UPPER SPREADER BAR TRANSPORT SKID</t>
  </si>
  <si>
    <t>LB-004</t>
  </si>
  <si>
    <t>LONG BAILS 18M FOR SFT ELEVATOR</t>
  </si>
  <si>
    <t>LONG BAILS TRANSPORT BASKET</t>
  </si>
  <si>
    <t>RS-002</t>
  </si>
  <si>
    <t>RISER SPIDER</t>
  </si>
  <si>
    <t>RISER DECK</t>
  </si>
  <si>
    <t>Armazenada no container NHJU-1002288</t>
  </si>
  <si>
    <t>RISER SPIDER CONTROL PANEL</t>
  </si>
  <si>
    <t>FG7</t>
  </si>
  <si>
    <t>RISER SPIDER HPU</t>
  </si>
  <si>
    <t>NHJU-1002288</t>
  </si>
  <si>
    <t>RISER SPIDER TRANSPORT SKID</t>
  </si>
  <si>
    <t>POWER TONG</t>
  </si>
  <si>
    <t>POWER TONG POSITIONER</t>
  </si>
  <si>
    <t>POWER TONG LIFT CYLINDER</t>
  </si>
  <si>
    <t>POWER TONG TRANSPORT SKID</t>
  </si>
  <si>
    <t>POWER TONG HPU - ELECTRICAL</t>
  </si>
  <si>
    <t>POWER TONG HPU - DIESEL</t>
  </si>
  <si>
    <t>TORQUE-MEASUREMENT SYSTEM</t>
  </si>
  <si>
    <t>DRILL PIPE RISER SLIPS</t>
  </si>
  <si>
    <t>22928/NS-3794</t>
  </si>
  <si>
    <t>DPR STABBING GUIDE</t>
  </si>
  <si>
    <t>MANUAL ELEVATOR</t>
  </si>
  <si>
    <t>THRS TRANSPORT BASKET</t>
  </si>
  <si>
    <t>PNE-003 (NS38848)</t>
  </si>
  <si>
    <t>DOUBLE DOOR ELEVATOR</t>
  </si>
  <si>
    <t xml:space="preserve">ok </t>
  </si>
  <si>
    <t>DOUBLE DOOR ELEVATOR TRANSPORT BASKET</t>
  </si>
  <si>
    <t>-</t>
  </si>
  <si>
    <t>DRILL PIPE RISER SLIPS 350 TON DPR 5K - CUNHA MANUAL 6.5/8¨</t>
  </si>
  <si>
    <t>WC-002</t>
  </si>
  <si>
    <t>WORKSHOP CONTAINER</t>
  </si>
  <si>
    <t>DIVERSOS</t>
  </si>
  <si>
    <t>NBP-006</t>
  </si>
  <si>
    <t xml:space="preserve">BOOSTER PUMP </t>
  </si>
  <si>
    <t>FLYING LEAD TRANSPORT FRAME</t>
  </si>
  <si>
    <t>BS-003 / BS-004</t>
  </si>
  <si>
    <t>CENTRALIZADOR</t>
  </si>
  <si>
    <t>ARMAZENADA NA CBU171</t>
  </si>
  <si>
    <t>ARM MANIPULATING AND POSITIONING SYSTEM FOR CLAMPS</t>
  </si>
  <si>
    <t>CROSSOVER DPR BOX X FH PINO</t>
  </si>
  <si>
    <t>CAIXA DE QUIMICOS (VAZIA)</t>
  </si>
  <si>
    <t>PÓRTICO NS:02 (END: 13/02/2027)</t>
  </si>
  <si>
    <t>XO / PUP 20' (STRESS JOINT)</t>
  </si>
  <si>
    <t xml:space="preserve"> EJ-006 / EJ-011</t>
  </si>
  <si>
    <t>JUMPER PDG</t>
  </si>
  <si>
    <t>PPJ-027</t>
  </si>
  <si>
    <t>PUP JOINT 15' - XT-MF-69</t>
  </si>
  <si>
    <t>SAVE SUB XT-MF69 BOX X XT-MF69 PIN</t>
  </si>
  <si>
    <t>R-16-15-26198</t>
  </si>
  <si>
    <t>SKID-N2</t>
  </si>
  <si>
    <t>CRO-051</t>
  </si>
  <si>
    <t>XO DPR XT-MF69 (CAIXA) X 6 5/8" - NC50 - PINO</t>
  </si>
  <si>
    <t>CRO-054</t>
  </si>
  <si>
    <t>XO DPR XT-MF69 X 6 5/8" - VAM HP PINO</t>
  </si>
  <si>
    <t>PIPT-005, PIPT-009, PIPT-012</t>
  </si>
  <si>
    <t>PIPE STAND</t>
  </si>
  <si>
    <t>TSB-001/019</t>
  </si>
  <si>
    <t xml:space="preserve">TEST BOX XT-MF69 - CAP 25 TON DPR 5K </t>
  </si>
  <si>
    <t>TSB-001 VENCIDO/TSB-019 EM OPERAÇÃO</t>
  </si>
  <si>
    <t xml:space="preserve"> EJ-018</t>
  </si>
  <si>
    <t>JUMPER TRONIC X ODI</t>
  </si>
  <si>
    <t>EAX-003-7571 (NS-09)</t>
  </si>
  <si>
    <t>ELEVADOR AUXILIAR</t>
  </si>
  <si>
    <t xml:space="preserve"> NDAE-04245</t>
  </si>
  <si>
    <t xml:space="preserve"> PIPE DRILL 6.5/8" - XT-MF 69 -  TUBO SFT</t>
  </si>
  <si>
    <t>PNEUMATIC PUMP 2 PRESSURE STAGES - (Bomba pneumática HCR)</t>
  </si>
  <si>
    <t>Atrás do conteiner oficina</t>
  </si>
  <si>
    <t>CONTAINER BABY COM QUÍMICOS</t>
  </si>
  <si>
    <t xml:space="preserve"> CBTA-468</t>
  </si>
  <si>
    <t>CESTA DE HW</t>
  </si>
  <si>
    <t>SOS12A/00263</t>
  </si>
  <si>
    <t>PACU</t>
  </si>
  <si>
    <t>COM 10 BOMBONAS DE HW 443 (PERTO DA HPU)</t>
  </si>
  <si>
    <t>0512261A / 0512262A</t>
  </si>
  <si>
    <t>ABRAÇADEIRAS TUBO DA SFT</t>
  </si>
  <si>
    <t>XO SWIVEL SFT</t>
  </si>
  <si>
    <t>CONTAINER DE HW</t>
  </si>
  <si>
    <t>COM 1 BOMBONA DE HW 443 (Varanda (Mezanino)</t>
  </si>
  <si>
    <t>MAC-1008</t>
  </si>
  <si>
    <t>UNIDADE DE INJEÇÃO QUIMICA</t>
  </si>
  <si>
    <t xml:space="preserve">Instalada próximo a HPU </t>
  </si>
  <si>
    <t>CBAD647</t>
  </si>
  <si>
    <t>CESTA DA CASEWEAR JOINT</t>
  </si>
  <si>
    <t>1.5MTB14576</t>
  </si>
  <si>
    <t>CAIXA VAZIA. ( Caixa da bomba da HPU)</t>
  </si>
  <si>
    <t>Caixa vazia onde veio a bomba da HPU.</t>
  </si>
  <si>
    <t>0495038/2</t>
  </si>
  <si>
    <t>HJ-031</t>
  </si>
  <si>
    <t>JUMPER DA STRESS JOINT</t>
  </si>
  <si>
    <t>CBU-171</t>
  </si>
  <si>
    <t>CESTA DE XO E CENTRALIZADOR</t>
  </si>
  <si>
    <t>Bomba Hidraulica de atuação do EBE</t>
  </si>
  <si>
    <t>TEST PIN XT-MF69 - CAP 25 TON DPR 5K</t>
  </si>
  <si>
    <t>CESTA DO TUBO DA SFT</t>
  </si>
  <si>
    <t>80618-2</t>
  </si>
  <si>
    <t>MANIFOLD</t>
  </si>
  <si>
    <t>CONTAINER OFICINA V:13/08/2025</t>
  </si>
  <si>
    <t>MANIFOLD DE AR  ( VENCIDO ) C94/2023 V:02/01/2024</t>
  </si>
  <si>
    <t>liagdo bomba injeção MEG - C94/2023 V:02/01/2024</t>
  </si>
  <si>
    <t>GABARITO 5.09"</t>
  </si>
  <si>
    <t xml:space="preserve">SAVE SUB XT-MF69 BOX X XT-MF69 BOX </t>
  </si>
  <si>
    <t>Data  teste de carga</t>
  </si>
  <si>
    <t>QNT</t>
  </si>
  <si>
    <t>DESCRIÇÃO</t>
  </si>
  <si>
    <t>APLICAÇÃO</t>
  </si>
  <si>
    <t>LOCALIZAÇÃO</t>
  </si>
  <si>
    <t>OBSERVAÇÃO</t>
  </si>
  <si>
    <t>LUBRAX CALCIUM GR2</t>
  </si>
  <si>
    <t>Container 10DRY14436</t>
  </si>
  <si>
    <t>20 kg</t>
  </si>
  <si>
    <t>LUBRAX CALCIUM ECO 2</t>
  </si>
  <si>
    <t>MOBILGEAR SHC XMP320 SINTHETIC WIND TURBINE</t>
  </si>
  <si>
    <t>10 l</t>
  </si>
  <si>
    <t>Óleo Hidráulico HF 101N (Enerpac)</t>
  </si>
  <si>
    <t>4 l</t>
  </si>
  <si>
    <t>Óleo Hidráulico HF 100N (Enerpac)</t>
  </si>
  <si>
    <t>1 l</t>
  </si>
  <si>
    <t>TELLUS S2 M 46</t>
  </si>
  <si>
    <t>20 l</t>
  </si>
  <si>
    <t>VG 10</t>
  </si>
  <si>
    <t>LUBRIFIL</t>
  </si>
  <si>
    <t>KOPR-KOTE</t>
  </si>
  <si>
    <t>Rosca XTMF-69</t>
  </si>
  <si>
    <t>8 kg</t>
  </si>
  <si>
    <t>b</t>
  </si>
  <si>
    <t>PETRONAS TUTELA MR-LM (D472E123)</t>
  </si>
  <si>
    <t>TUFLUBE ALLWEATHER</t>
  </si>
  <si>
    <t>GRAXA PARA ENGRENAGEM</t>
  </si>
  <si>
    <t>4 + 4 kg</t>
  </si>
  <si>
    <t>MOBILGEAR 600 XP 680</t>
  </si>
  <si>
    <t>RENOLIT FEP 2</t>
  </si>
  <si>
    <t>18 kg</t>
  </si>
  <si>
    <t>TUFGEAR UNIVERSAL</t>
  </si>
  <si>
    <t>4 kg</t>
  </si>
  <si>
    <t>TELLUS		68</t>
  </si>
  <si>
    <t>HW - 443</t>
  </si>
  <si>
    <t>CBAT-468</t>
  </si>
  <si>
    <t>200 L</t>
  </si>
  <si>
    <t>RODOLFO RIBEIRO</t>
  </si>
  <si>
    <t>Data da Inspeção</t>
  </si>
  <si>
    <t>GENIS HORA</t>
  </si>
  <si>
    <t>LEANDRO CARVALHO</t>
  </si>
  <si>
    <t>YASMIN PEREIRA</t>
  </si>
  <si>
    <t>ID Eslinga</t>
  </si>
  <si>
    <t>Especificação da Eslinga</t>
  </si>
  <si>
    <t>Validade da Eslinga</t>
  </si>
  <si>
    <t>Data Cert. equip. / Skid</t>
  </si>
  <si>
    <t>Validade teste carga equip. / skid</t>
  </si>
  <si>
    <t>Localização da Eslinga</t>
  </si>
  <si>
    <t>E53212</t>
  </si>
  <si>
    <t>AA9840</t>
  </si>
  <si>
    <t>551SM</t>
  </si>
  <si>
    <t>CBAD-647</t>
  </si>
  <si>
    <t>Cesta da Cased wear Joint</t>
  </si>
  <si>
    <t>SOS05A/00052</t>
  </si>
  <si>
    <t>SKID N2</t>
  </si>
  <si>
    <t>104416/0002</t>
  </si>
  <si>
    <t>MAC1008</t>
  </si>
  <si>
    <t>ESLINGA DA UNIDADE DE INJEÇÃO MAC-1008</t>
  </si>
  <si>
    <t>MAC-1008-S2</t>
  </si>
  <si>
    <t>CBAT 468</t>
  </si>
  <si>
    <t>Cesta de HW</t>
  </si>
  <si>
    <t>SOS12A/0023</t>
  </si>
  <si>
    <t xml:space="preserve">N/A </t>
  </si>
  <si>
    <t>N\A</t>
  </si>
  <si>
    <t xml:space="preserve">CARRETEL TH </t>
  </si>
  <si>
    <t>NA</t>
  </si>
  <si>
    <t>LINGADA SFT</t>
  </si>
  <si>
    <t>27280-05</t>
  </si>
  <si>
    <t>LINGADA ELEVADOR AUXILIAR</t>
  </si>
  <si>
    <t>CTX285</t>
  </si>
  <si>
    <t>SN: 6052/25</t>
  </si>
  <si>
    <t>SWIVEL ELEVADOR AUXILIAR</t>
  </si>
  <si>
    <t>LINGADA COFLEX</t>
  </si>
  <si>
    <t>281/25</t>
  </si>
  <si>
    <t>SE ENCONTRA INSTALADA NA COFLEX</t>
  </si>
  <si>
    <t>ABRAÇADEIRA DO TUBO DA SFT</t>
  </si>
  <si>
    <t>0512261AA/0512262A</t>
  </si>
  <si>
    <t>10OT14324</t>
  </si>
  <si>
    <t>36660-6</t>
  </si>
  <si>
    <t>LINGADA DE TUBO</t>
  </si>
  <si>
    <t>BC-50476</t>
  </si>
  <si>
    <t>BC-53887</t>
  </si>
  <si>
    <t>BC-50491</t>
  </si>
  <si>
    <t>10DRY14464</t>
  </si>
  <si>
    <t>Container de Calmps TH</t>
  </si>
  <si>
    <t>Container do RISERSPIDER</t>
  </si>
  <si>
    <t>NHJ100228</t>
  </si>
  <si>
    <t>Cesta de Crossover</t>
  </si>
  <si>
    <t>SOS08B/00138</t>
  </si>
  <si>
    <t>KH - 332</t>
  </si>
  <si>
    <t>Container XO</t>
  </si>
  <si>
    <t>SES12A/00036</t>
  </si>
  <si>
    <t>13/10/2027</t>
  </si>
  <si>
    <t>Eslinga 2 pernas</t>
  </si>
  <si>
    <t>Caixa vazia</t>
  </si>
  <si>
    <t>1,5MTB14576</t>
  </si>
  <si>
    <t>LEGENDA:</t>
  </si>
  <si>
    <t>60 DIAS OU MAIS PARA O VENCIMENTO</t>
  </si>
  <si>
    <t>MENOS DE 60 DIAS PARA O VENCIMENTO</t>
  </si>
  <si>
    <t>VENCIDO</t>
  </si>
  <si>
    <t>CONTROLE DE MANGUEIRAS</t>
  </si>
  <si>
    <t>Realizado por:</t>
  </si>
  <si>
    <t>LEANDO CARVALHO</t>
  </si>
  <si>
    <t>Dia:</t>
  </si>
  <si>
    <t>Supervisor:</t>
  </si>
  <si>
    <t>ITEM</t>
  </si>
  <si>
    <t>MEDIDAS</t>
  </si>
  <si>
    <t>CERTIFICADO</t>
  </si>
  <si>
    <t>DATA CERTIFICAÇÃO</t>
  </si>
  <si>
    <t>VALIDADE</t>
  </si>
  <si>
    <t>PRESSÃO DE TRAB.</t>
  </si>
  <si>
    <t>OBSERVAÇÕES</t>
  </si>
  <si>
    <t>1" x 25 m</t>
  </si>
  <si>
    <t>C4385/2024</t>
  </si>
  <si>
    <t>300 PSI</t>
  </si>
  <si>
    <t>ALIMENTANDO HPU</t>
  </si>
  <si>
    <t>1" x 23 m</t>
  </si>
  <si>
    <t>1" x 8 m</t>
  </si>
  <si>
    <t>CARRETEL OS</t>
  </si>
  <si>
    <t>CARRETEL HCR</t>
  </si>
  <si>
    <t>1/4" x 25 m</t>
  </si>
  <si>
    <t>C7338/2024</t>
  </si>
  <si>
    <t>18.500 PSI</t>
  </si>
  <si>
    <t>N2 - CONTAINER OFICINA</t>
  </si>
  <si>
    <t>3/8" x 25 m</t>
  </si>
  <si>
    <t>C4869/2024</t>
  </si>
  <si>
    <t>5.000 PSI</t>
  </si>
  <si>
    <t>ALIMENTANDO OMNI</t>
  </si>
  <si>
    <t>C4874/2024</t>
  </si>
  <si>
    <t>C7322/2024</t>
  </si>
  <si>
    <t>AME 2055</t>
  </si>
  <si>
    <t>1" x 3 m</t>
  </si>
  <si>
    <t>C7332-2024</t>
  </si>
  <si>
    <t>CONTAINER OFICINA</t>
  </si>
  <si>
    <t>1/4" x 100m</t>
  </si>
  <si>
    <t>7.118-110</t>
  </si>
  <si>
    <t>26.000 PSI</t>
  </si>
  <si>
    <t>C4573/2024</t>
  </si>
  <si>
    <t>26.100 PSI</t>
  </si>
  <si>
    <t>MI050954</t>
  </si>
  <si>
    <t>20/01/26</t>
  </si>
  <si>
    <t>290 PSI</t>
  </si>
  <si>
    <t>MI050955</t>
  </si>
  <si>
    <t>20/01/22</t>
  </si>
  <si>
    <t>291 PSI</t>
  </si>
  <si>
    <t>Opções de localização na sonda para Equipamentos</t>
  </si>
  <si>
    <t>Opções de localização na sonda para Eslingas</t>
  </si>
  <si>
    <t>Bombordo</t>
  </si>
  <si>
    <t>Booster pump</t>
  </si>
  <si>
    <t>Boreste</t>
  </si>
  <si>
    <t>Control cabin</t>
  </si>
  <si>
    <t>Deck de transferência</t>
  </si>
  <si>
    <t>Double door elevator transport basket</t>
  </si>
  <si>
    <t>Flexible flow line pipe transport basket</t>
  </si>
  <si>
    <t>Flying lead transport frame</t>
  </si>
  <si>
    <t>HCR annulus circulation reeler</t>
  </si>
  <si>
    <t>HPU w/ integrated open sea control panel</t>
  </si>
  <si>
    <t>Hub adapter transport skid</t>
  </si>
  <si>
    <t>Long bails transport basket</t>
  </si>
  <si>
    <t>Lubricator valve control reeler</t>
  </si>
  <si>
    <t>Main elevator transport skid</t>
  </si>
  <si>
    <t>Moon Pool</t>
  </si>
  <si>
    <t>Main elevator mounting frame</t>
  </si>
  <si>
    <t>Popa</t>
  </si>
  <si>
    <t>Open sea reeler</t>
  </si>
  <si>
    <t>Popa Boreste</t>
  </si>
  <si>
    <t>Power tong transport skid</t>
  </si>
  <si>
    <t>Proa Boreste</t>
  </si>
  <si>
    <t>Reeler</t>
  </si>
  <si>
    <t>Riser accessories transport basket</t>
  </si>
  <si>
    <t>Riser Deck</t>
  </si>
  <si>
    <t>Riser spider transport skid</t>
  </si>
  <si>
    <t>ROV Bombordo</t>
  </si>
  <si>
    <t>ROV Boreste</t>
  </si>
  <si>
    <t>Sacaria</t>
  </si>
  <si>
    <t>Sala dos Técnicos</t>
  </si>
  <si>
    <t>Stress joint transport skid</t>
  </si>
  <si>
    <t>Surface flow tree transport skid</t>
  </si>
  <si>
    <t>THRS transport basket</t>
  </si>
  <si>
    <t>Trolley</t>
  </si>
  <si>
    <t>Umbilical clamp transport basket</t>
  </si>
  <si>
    <t>Upper spreader bar transport skid</t>
  </si>
  <si>
    <t>Tubing hanger control panel</t>
  </si>
  <si>
    <t>Tubing hanger reeler</t>
  </si>
  <si>
    <t>Workshop container</t>
  </si>
  <si>
    <t>TOTAL QTY.</t>
  </si>
  <si>
    <t>DESCRIPTION</t>
  </si>
  <si>
    <t>PART NUMBER</t>
  </si>
  <si>
    <t>ELECTRICAL JUMPER 4 QUAD 200M FOR REMOTE DHPT READING</t>
  </si>
  <si>
    <t>0495020</t>
  </si>
  <si>
    <t>ELECTRICAL JUMPER 2 QUAD 200M FOR REMOTE DHPT READING</t>
  </si>
  <si>
    <t>0495027</t>
  </si>
  <si>
    <t>HYDRAULIC ADAPTER FOR CONNECTION 2 ANNULUS CIRCULATION LINE X STRESS JOINT</t>
  </si>
  <si>
    <t>0495037</t>
  </si>
  <si>
    <t>HYDRAULIC JUMPER KIT - DPR 5K</t>
  </si>
  <si>
    <t>0495012</t>
  </si>
  <si>
    <t>TEST DEVICES - DPR 5K</t>
  </si>
  <si>
    <t>0498235</t>
  </si>
  <si>
    <t>SPARE PARTS - DPR 5K</t>
  </si>
  <si>
    <t>0498236</t>
  </si>
  <si>
    <t>Número do documentos</t>
  </si>
  <si>
    <t>Número da revisão</t>
  </si>
  <si>
    <t>Equipe</t>
  </si>
  <si>
    <t>Supervisor</t>
  </si>
  <si>
    <t>Yasmin Ferreira  / Gênis da Hora</t>
  </si>
  <si>
    <t>Jackson Ferreira</t>
  </si>
  <si>
    <t xml:space="preserve"> Poço:</t>
  </si>
  <si>
    <t xml:space="preserve"> SISTEMA</t>
  </si>
  <si>
    <t xml:space="preserve"> N°  JOB</t>
  </si>
  <si>
    <t xml:space="preserve"> OPERAÇÃO IN RISER </t>
  </si>
  <si>
    <t>DATA: 07/03/2026</t>
  </si>
  <si>
    <t>CONTENTORES</t>
  </si>
  <si>
    <t>Tag</t>
  </si>
  <si>
    <t>Teste de carga</t>
  </si>
  <si>
    <t>ID da eslinga</t>
  </si>
  <si>
    <t>Certificado</t>
  </si>
  <si>
    <t>Validade</t>
  </si>
  <si>
    <t>NHJU 1002288  - Riser spider</t>
  </si>
  <si>
    <t>14/08/26</t>
  </si>
  <si>
    <t>NHJU 1002288</t>
  </si>
  <si>
    <t>MKS180043/20</t>
  </si>
  <si>
    <t>CBTA 468 - HW</t>
  </si>
  <si>
    <t xml:space="preserve">CBAD 647 - CWJ </t>
  </si>
  <si>
    <t>20/06/2026</t>
  </si>
  <si>
    <t>000094/13</t>
  </si>
  <si>
    <t>19/06/2026</t>
  </si>
  <si>
    <t>CBU 171  - XO</t>
  </si>
  <si>
    <t>SOS8B/00138</t>
  </si>
  <si>
    <t>06770/16</t>
  </si>
  <si>
    <t>KH 332 - NS31</t>
  </si>
  <si>
    <t>13/01/2027</t>
  </si>
  <si>
    <t>BCE 2418060</t>
  </si>
  <si>
    <t>10DRY14464 - Clamps</t>
  </si>
  <si>
    <t>HV224</t>
  </si>
  <si>
    <t>100T14324 - XO</t>
  </si>
  <si>
    <t>19/08/2026</t>
  </si>
  <si>
    <t>36660/8</t>
  </si>
  <si>
    <t>R 183 - CARRETEL</t>
  </si>
  <si>
    <t>20/01/2027</t>
  </si>
  <si>
    <t>HPU - 239</t>
  </si>
  <si>
    <t>21/03/2026</t>
  </si>
  <si>
    <t>WC 002  - Container oficina</t>
  </si>
  <si>
    <t>28/05/2026</t>
  </si>
  <si>
    <t>SS1-SM</t>
  </si>
  <si>
    <t>WV- 033</t>
  </si>
  <si>
    <t>21.03.2026</t>
  </si>
  <si>
    <t>ESS/W7834/38</t>
  </si>
  <si>
    <t>21/03/26</t>
  </si>
  <si>
    <t>ATIVO</t>
  </si>
  <si>
    <t>MAC -1008</t>
  </si>
  <si>
    <t>MAC-1008-52</t>
  </si>
  <si>
    <t>25-572/11</t>
  </si>
  <si>
    <t>30/10/2026</t>
  </si>
  <si>
    <t>Skid N2 - 10441602</t>
  </si>
  <si>
    <t>104416/002</t>
  </si>
  <si>
    <t>NS-02</t>
  </si>
  <si>
    <t>13/02/2027</t>
  </si>
  <si>
    <t>PÓRTICO</t>
  </si>
  <si>
    <t>LINK</t>
  </si>
  <si>
    <t>CFP - 005</t>
  </si>
  <si>
    <t>Coflex</t>
  </si>
  <si>
    <t>PIPIT -005/009/012</t>
  </si>
  <si>
    <t>Cavaletes</t>
  </si>
  <si>
    <t>CWJ -006/007</t>
  </si>
  <si>
    <t xml:space="preserve">Cased wear Joint </t>
  </si>
  <si>
    <t>Bomba Booster</t>
  </si>
  <si>
    <t>JUMPER</t>
  </si>
  <si>
    <t>PN</t>
  </si>
  <si>
    <t>CONTENTOR</t>
  </si>
  <si>
    <t>HJ -002</t>
  </si>
  <si>
    <t>Jumper SFT</t>
  </si>
  <si>
    <t>HJ-011 / 008</t>
  </si>
  <si>
    <t>Jumper 13 F</t>
  </si>
  <si>
    <t>DJ -059 / 069 /058/ 051</t>
  </si>
  <si>
    <t>Jumper eletrico</t>
  </si>
  <si>
    <t>EFL - 111/ 112</t>
  </si>
  <si>
    <t>Jumper eletrico conector / inclinometro</t>
  </si>
  <si>
    <t>EJ - 011 / 006</t>
  </si>
  <si>
    <t>Jumper HCR</t>
  </si>
  <si>
    <t>HJ/010</t>
  </si>
  <si>
    <t>SEM TAG</t>
  </si>
  <si>
    <t>HJ- 031</t>
  </si>
  <si>
    <t>Jumper stress joint</t>
  </si>
  <si>
    <t>PUP / CROSSOVER / SAVER SUB / CENTRALIZADOR</t>
  </si>
  <si>
    <t>PPJ - 020</t>
  </si>
  <si>
    <t>Pup 8'</t>
  </si>
  <si>
    <t>PPJ - 019</t>
  </si>
  <si>
    <t>PPJ - 027</t>
  </si>
  <si>
    <t>Pup 15'</t>
  </si>
  <si>
    <t>NPAE - 00967 -  PPJ-001</t>
  </si>
  <si>
    <t>Pup 20'</t>
  </si>
  <si>
    <t>SSUB - 015 / 017</t>
  </si>
  <si>
    <t>Saver Sub - Pin x Pin</t>
  </si>
  <si>
    <t>SSUB - 001</t>
  </si>
  <si>
    <t>Saver Sub - caixa x caixa</t>
  </si>
  <si>
    <t>BS - 003 / 004</t>
  </si>
  <si>
    <t>Centralizador</t>
  </si>
  <si>
    <t>TSB - 001 / 019</t>
  </si>
  <si>
    <t>Caixa de teste</t>
  </si>
  <si>
    <t>CRO - 013</t>
  </si>
  <si>
    <t>XTMF 69 caixa x SR pino</t>
  </si>
  <si>
    <t>CRO - 051</t>
  </si>
  <si>
    <t>4 1/2 IF pino x caixa XTMF 69 caixa</t>
  </si>
  <si>
    <t>CRO -004</t>
  </si>
  <si>
    <t>NC50 caixa x XTMF 69 pino</t>
  </si>
  <si>
    <t>CRO - 054</t>
  </si>
  <si>
    <t xml:space="preserve"> NC50 (Caixa) x 6 5/8” XT-MF69 (Pino</t>
  </si>
  <si>
    <t>CRO - 015</t>
  </si>
  <si>
    <t>HP</t>
  </si>
  <si>
    <t>SSUB - 011</t>
  </si>
  <si>
    <t>XTMF 69 XTMF 69 Caixa x Pino</t>
  </si>
  <si>
    <t>SFTUC - 001</t>
  </si>
  <si>
    <t>4 7/8''</t>
  </si>
  <si>
    <t xml:space="preserve">SFTUC - 004  </t>
  </si>
  <si>
    <t>8 1/4''</t>
  </si>
  <si>
    <t>SFTUC  - 011</t>
  </si>
  <si>
    <t>9 Otis</t>
  </si>
  <si>
    <t>CRUZETA / SHEAVES</t>
  </si>
  <si>
    <t>TDS - 197/201</t>
  </si>
  <si>
    <t>Sheave 80°</t>
  </si>
  <si>
    <t>TDS - 196</t>
  </si>
  <si>
    <t>Sheave 180°</t>
  </si>
  <si>
    <t>TDS - 190</t>
  </si>
  <si>
    <t xml:space="preserve">Main sheaves </t>
  </si>
  <si>
    <t>TDS - 203</t>
  </si>
  <si>
    <t>Sheave CWJ</t>
  </si>
  <si>
    <t>Cruzeta</t>
  </si>
  <si>
    <t>EQUIPAMENTOS DE MANOBRA</t>
  </si>
  <si>
    <t>Cunha</t>
  </si>
  <si>
    <t>21241/21183 / 7960/3794,3809</t>
  </si>
  <si>
    <t>Stabing Guide</t>
  </si>
  <si>
    <t>PNE-003</t>
  </si>
  <si>
    <t>Elevador</t>
  </si>
  <si>
    <t>NS-09</t>
  </si>
  <si>
    <t xml:space="preserve">Elevador auxiliar </t>
  </si>
  <si>
    <t>Gabarito 5.09</t>
  </si>
  <si>
    <t>Gabarito 4.75</t>
  </si>
  <si>
    <t>Inserto 7 1/8''</t>
  </si>
  <si>
    <t xml:space="preserve">Destorcedor </t>
  </si>
  <si>
    <t>Riser Spider</t>
  </si>
  <si>
    <t>RS - 002</t>
  </si>
  <si>
    <t>Riser spider</t>
  </si>
  <si>
    <t>Painel de controle</t>
  </si>
  <si>
    <t>HPU riser spider</t>
  </si>
  <si>
    <t xml:space="preserve">Mangueira de AR </t>
  </si>
  <si>
    <t>Mangueira de alimentaça</t>
  </si>
  <si>
    <t>Jumper painel x riser spider</t>
  </si>
  <si>
    <t>Jumper pneumatico HPU RS x Painel</t>
  </si>
  <si>
    <t>ADH- 012</t>
  </si>
  <si>
    <t>PLANGAS 5X1</t>
  </si>
  <si>
    <t>PLANGAS4X2</t>
  </si>
  <si>
    <t>HUB 11 X FLANG 13 5/8 5X1''</t>
  </si>
  <si>
    <t>Skid</t>
  </si>
  <si>
    <t>SFT - 003</t>
  </si>
  <si>
    <t>Swivel</t>
  </si>
  <si>
    <t>CROO36</t>
  </si>
  <si>
    <t>Crossover</t>
  </si>
  <si>
    <t>NDAE-04245</t>
  </si>
  <si>
    <t xml:space="preserve">Tubo </t>
  </si>
  <si>
    <t xml:space="preserve">Clamps de Içamento </t>
  </si>
  <si>
    <t>Teste box</t>
  </si>
  <si>
    <t>Container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</si>
</sst>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000000"/>
    <numFmt numFmtId="166" formatCode="dd/mm/yy;@"/>
  </numFmts>
  <fonts count="3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u/>
      <sz val="16"/>
      <color theme="0"/>
      <name val="Calibri"/>
      <family val="2"/>
      <scheme val="minor"/>
    </font>
    <font>
      <sz val="10"/>
      <color rgb="FF000000"/>
      <name val="Arial"/>
      <family val="2"/>
    </font>
    <font>
      <sz val="14"/>
      <color theme="1"/>
      <name val="Arial"/>
    </font>
    <font>
      <sz val="12"/>
      <color theme="1"/>
      <name val="Arial"/>
    </font>
    <font>
      <sz val="11"/>
      <color rgb="FF000000"/>
      <name val="Calibri"/>
      <scheme val="minor"/>
    </font>
    <font>
      <sz val="11"/>
      <color theme="1"/>
      <name val="Arial"/>
    </font>
    <font>
      <sz val="11"/>
      <color rgb="FF242424"/>
      <name val="Aptos Narrow"/>
      <charset val="1"/>
    </font>
    <font>
      <sz val="11"/>
      <color rgb="FFFF0000"/>
      <name val="Calibri"/>
      <family val="2"/>
      <scheme val="minor"/>
    </font>
    <font>
      <sz val="12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9B60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rgb="FFF0F9FF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1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1"/>
      </top>
      <bottom/>
      <diagonal/>
    </border>
    <border>
      <left/>
      <right style="medium">
        <color rgb="FF000000"/>
      </right>
      <top style="medium">
        <color theme="1"/>
      </top>
      <bottom style="medium">
        <color rgb="FF00000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21" fillId="0" borderId="0" applyFont="0" applyFill="0" applyBorder="0" applyAlignment="0" applyProtection="0"/>
  </cellStyleXfs>
  <cellXfs count="549">
    <xf numFmtId="0" fontId="0" fillId="0" borderId="0" xfId="0"/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31" xfId="0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0" fontId="9" fillId="0" borderId="25" xfId="0" applyFont="1" applyBorder="1" applyAlignment="1" applyProtection="1">
      <alignment vertical="center"/>
      <protection hidden="1"/>
    </xf>
    <xf numFmtId="0" fontId="4" fillId="0" borderId="25" xfId="0" applyFont="1" applyBorder="1" applyProtection="1">
      <protection hidden="1"/>
    </xf>
    <xf numFmtId="0" fontId="4" fillId="0" borderId="25" xfId="0" applyFont="1" applyBorder="1" applyAlignment="1" applyProtection="1">
      <alignment vertical="center"/>
      <protection hidden="1"/>
    </xf>
    <xf numFmtId="0" fontId="4" fillId="0" borderId="17" xfId="0" applyFont="1" applyBorder="1" applyProtection="1">
      <protection hidden="1"/>
    </xf>
    <xf numFmtId="0" fontId="9" fillId="0" borderId="17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0" fontId="6" fillId="0" borderId="37" xfId="0" applyFont="1" applyBorder="1" applyAlignment="1" applyProtection="1">
      <alignment horizontal="center" vertical="top" wrapText="1"/>
      <protection hidden="1"/>
    </xf>
    <xf numFmtId="0" fontId="6" fillId="0" borderId="36" xfId="0" applyFont="1" applyBorder="1" applyAlignment="1" applyProtection="1">
      <alignment horizontal="center" vertical="top" wrapText="1"/>
      <protection hidden="1"/>
    </xf>
    <xf numFmtId="0" fontId="6" fillId="0" borderId="38" xfId="0" applyFont="1" applyBorder="1" applyAlignment="1" applyProtection="1">
      <alignment horizontal="center" vertical="top" wrapText="1"/>
      <protection hidden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 wrapText="1"/>
    </xf>
    <xf numFmtId="0" fontId="4" fillId="0" borderId="0" xfId="0" applyFont="1"/>
    <xf numFmtId="165" fontId="0" fillId="0" borderId="16" xfId="0" applyNumberFormat="1" applyBorder="1" applyAlignment="1" applyProtection="1">
      <alignment horizontal="center" vertical="center"/>
      <protection locked="0"/>
    </xf>
    <xf numFmtId="165" fontId="0" fillId="0" borderId="17" xfId="0" applyNumberFormat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65" fontId="0" fillId="0" borderId="14" xfId="0" applyNumberFormat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6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0" fillId="2" borderId="8" xfId="0" applyFill="1" applyBorder="1" applyAlignment="1" applyProtection="1">
      <alignment vertical="center"/>
      <protection hidden="1"/>
    </xf>
    <xf numFmtId="0" fontId="0" fillId="2" borderId="9" xfId="0" applyFill="1" applyBorder="1" applyAlignment="1" applyProtection="1">
      <alignment vertical="center"/>
      <protection hidden="1"/>
    </xf>
    <xf numFmtId="0" fontId="0" fillId="0" borderId="7" xfId="0" applyBorder="1" applyAlignment="1" applyProtection="1">
      <alignment vertical="center"/>
      <protection hidden="1"/>
    </xf>
    <xf numFmtId="0" fontId="0" fillId="0" borderId="8" xfId="0" applyBorder="1" applyAlignment="1" applyProtection="1">
      <alignment vertical="center"/>
      <protection hidden="1"/>
    </xf>
    <xf numFmtId="165" fontId="0" fillId="0" borderId="25" xfId="0" applyNumberFormat="1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6" fillId="0" borderId="38" xfId="0" applyFont="1" applyBorder="1" applyAlignment="1" applyProtection="1">
      <alignment horizontal="center" vertical="top" wrapText="1"/>
      <protection locked="0"/>
    </xf>
    <xf numFmtId="0" fontId="12" fillId="2" borderId="24" xfId="0" applyFont="1" applyFill="1" applyBorder="1" applyAlignment="1" applyProtection="1">
      <alignment horizontal="center" vertical="center"/>
      <protection hidden="1"/>
    </xf>
    <xf numFmtId="0" fontId="6" fillId="0" borderId="26" xfId="0" applyFont="1" applyBorder="1" applyAlignment="1" applyProtection="1">
      <alignment horizontal="center" vertical="center"/>
      <protection locked="0"/>
    </xf>
    <xf numFmtId="165" fontId="6" fillId="0" borderId="24" xfId="0" applyNumberFormat="1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hidden="1"/>
    </xf>
    <xf numFmtId="0" fontId="12" fillId="2" borderId="25" xfId="0" applyFont="1" applyFill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locked="0"/>
    </xf>
    <xf numFmtId="165" fontId="6" fillId="0" borderId="16" xfId="0" applyNumberFormat="1" applyFont="1" applyBorder="1" applyAlignment="1">
      <alignment horizontal="center" vertical="center"/>
    </xf>
    <xf numFmtId="165" fontId="6" fillId="0" borderId="25" xfId="0" applyNumberFormat="1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/>
      <protection hidden="1"/>
    </xf>
    <xf numFmtId="3" fontId="6" fillId="0" borderId="27" xfId="0" applyNumberFormat="1" applyFont="1" applyBorder="1" applyAlignment="1" applyProtection="1">
      <alignment horizontal="center" vertical="center"/>
      <protection locked="0"/>
    </xf>
    <xf numFmtId="165" fontId="6" fillId="0" borderId="25" xfId="0" applyNumberFormat="1" applyFont="1" applyBorder="1" applyAlignment="1">
      <alignment horizontal="center" vertical="center"/>
    </xf>
    <xf numFmtId="165" fontId="6" fillId="0" borderId="35" xfId="0" applyNumberFormat="1" applyFont="1" applyBorder="1" applyAlignment="1">
      <alignment horizontal="center" vertical="center"/>
    </xf>
    <xf numFmtId="165" fontId="6" fillId="0" borderId="33" xfId="0" applyNumberFormat="1" applyFont="1" applyBorder="1" applyAlignment="1" applyProtection="1">
      <alignment horizontal="center" vertical="center"/>
      <protection locked="0"/>
    </xf>
    <xf numFmtId="14" fontId="6" fillId="0" borderId="25" xfId="0" applyNumberFormat="1" applyFont="1" applyBorder="1" applyAlignment="1" applyProtection="1">
      <alignment horizontal="center" vertical="center"/>
      <protection locked="0"/>
    </xf>
    <xf numFmtId="14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hidden="1"/>
    </xf>
    <xf numFmtId="0" fontId="6" fillId="0" borderId="28" xfId="0" applyFont="1" applyBorder="1" applyAlignment="1" applyProtection="1">
      <alignment horizontal="center" vertical="center"/>
      <protection locked="0"/>
    </xf>
    <xf numFmtId="165" fontId="6" fillId="0" borderId="17" xfId="0" applyNumberFormat="1" applyFont="1" applyBorder="1" applyAlignment="1">
      <alignment horizontal="center" vertical="center"/>
    </xf>
    <xf numFmtId="0" fontId="6" fillId="0" borderId="17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hidden="1"/>
    </xf>
    <xf numFmtId="0" fontId="12" fillId="2" borderId="35" xfId="0" applyFont="1" applyFill="1" applyBorder="1" applyAlignment="1" applyProtection="1">
      <alignment horizontal="center" vertical="center"/>
      <protection hidden="1"/>
    </xf>
    <xf numFmtId="0" fontId="6" fillId="0" borderId="33" xfId="0" applyFont="1" applyBorder="1" applyAlignment="1" applyProtection="1">
      <alignment horizontal="center" vertical="center"/>
      <protection locked="0"/>
    </xf>
    <xf numFmtId="165" fontId="6" fillId="0" borderId="14" xfId="0" applyNumberFormat="1" applyFont="1" applyBorder="1" applyAlignment="1">
      <alignment horizontal="center" vertical="center"/>
    </xf>
    <xf numFmtId="0" fontId="6" fillId="0" borderId="35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hidden="1"/>
    </xf>
    <xf numFmtId="16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locked="0"/>
    </xf>
    <xf numFmtId="165" fontId="14" fillId="0" borderId="24" xfId="0" applyNumberFormat="1" applyFont="1" applyBorder="1" applyAlignment="1">
      <alignment horizontal="center" vertical="center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165" fontId="14" fillId="0" borderId="25" xfId="0" applyNumberFormat="1" applyFont="1" applyBorder="1" applyAlignment="1">
      <alignment horizontal="center" vertical="center"/>
    </xf>
    <xf numFmtId="165" fontId="14" fillId="0" borderId="35" xfId="0" applyNumberFormat="1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165" fontId="14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center" vertical="center"/>
      <protection locked="0"/>
    </xf>
    <xf numFmtId="165" fontId="6" fillId="0" borderId="13" xfId="0" applyNumberFormat="1" applyFont="1" applyBorder="1" applyAlignment="1">
      <alignment horizontal="center" vertical="center"/>
    </xf>
    <xf numFmtId="14" fontId="6" fillId="0" borderId="17" xfId="0" applyNumberFormat="1" applyFont="1" applyBorder="1" applyAlignment="1" applyProtection="1">
      <alignment horizontal="center" vertical="center"/>
      <protection locked="0"/>
    </xf>
    <xf numFmtId="3" fontId="14" fillId="0" borderId="40" xfId="0" applyNumberFormat="1" applyFont="1" applyBorder="1" applyAlignment="1" applyProtection="1">
      <alignment horizontal="center" vertical="center"/>
      <protection locked="0"/>
    </xf>
    <xf numFmtId="14" fontId="6" fillId="0" borderId="14" xfId="0" applyNumberFormat="1" applyFont="1" applyBorder="1" applyAlignment="1" applyProtection="1">
      <alignment horizontal="center" vertical="center"/>
      <protection locked="0"/>
    </xf>
    <xf numFmtId="14" fontId="6" fillId="0" borderId="13" xfId="0" applyNumberFormat="1" applyFont="1" applyBorder="1" applyAlignment="1" applyProtection="1">
      <alignment horizontal="center" vertical="center"/>
      <protection locked="0"/>
    </xf>
    <xf numFmtId="165" fontId="6" fillId="0" borderId="15" xfId="0" applyNumberFormat="1" applyFont="1" applyBorder="1" applyAlignment="1">
      <alignment horizontal="center" vertical="center"/>
    </xf>
    <xf numFmtId="0" fontId="6" fillId="0" borderId="19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/>
      <protection hidden="1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3" fontId="6" fillId="0" borderId="28" xfId="0" applyNumberFormat="1" applyFont="1" applyBorder="1" applyAlignment="1" applyProtection="1">
      <alignment horizontal="center" vertical="center"/>
      <protection locked="0"/>
    </xf>
    <xf numFmtId="3" fontId="6" fillId="0" borderId="33" xfId="0" applyNumberFormat="1" applyFont="1" applyBorder="1" applyAlignment="1" applyProtection="1">
      <alignment horizontal="center" vertical="center"/>
      <protection locked="0"/>
    </xf>
    <xf numFmtId="3" fontId="6" fillId="0" borderId="22" xfId="0" applyNumberFormat="1" applyFont="1" applyBorder="1" applyAlignment="1" applyProtection="1">
      <alignment horizontal="center" vertical="center"/>
      <protection locked="0"/>
    </xf>
    <xf numFmtId="14" fontId="6" fillId="0" borderId="24" xfId="0" applyNumberFormat="1" applyFont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hidden="1"/>
    </xf>
    <xf numFmtId="0" fontId="6" fillId="6" borderId="1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0" fillId="0" borderId="3" xfId="0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2" fillId="2" borderId="25" xfId="0" applyFont="1" applyFill="1" applyBorder="1" applyAlignment="1" applyProtection="1">
      <alignment horizontal="center" vertical="center"/>
      <protection hidden="1"/>
    </xf>
    <xf numFmtId="0" fontId="2" fillId="2" borderId="17" xfId="0" applyFont="1" applyFill="1" applyBorder="1" applyAlignment="1" applyProtection="1">
      <alignment horizontal="center" vertical="center"/>
      <protection hidden="1"/>
    </xf>
    <xf numFmtId="0" fontId="13" fillId="0" borderId="9" xfId="0" applyFont="1" applyBorder="1" applyAlignment="1" applyProtection="1">
      <alignment horizontal="center" vertical="center" textRotation="90"/>
      <protection hidden="1"/>
    </xf>
    <xf numFmtId="0" fontId="6" fillId="0" borderId="7" xfId="0" applyFont="1" applyBorder="1" applyAlignment="1" applyProtection="1">
      <alignment horizontal="center" vertical="center"/>
      <protection locked="0"/>
    </xf>
    <xf numFmtId="3" fontId="6" fillId="0" borderId="25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166" fontId="6" fillId="0" borderId="24" xfId="0" applyNumberFormat="1" applyFont="1" applyBorder="1" applyAlignment="1" applyProtection="1">
      <alignment horizontal="center" vertical="center"/>
      <protection locked="0"/>
    </xf>
    <xf numFmtId="166" fontId="6" fillId="0" borderId="25" xfId="0" applyNumberFormat="1" applyFont="1" applyBorder="1" applyAlignment="1" applyProtection="1">
      <alignment horizontal="center" vertical="center"/>
      <protection locked="0"/>
    </xf>
    <xf numFmtId="166" fontId="6" fillId="0" borderId="16" xfId="0" applyNumberFormat="1" applyFont="1" applyBorder="1" applyAlignment="1" applyProtection="1">
      <alignment horizontal="center" vertical="center"/>
      <protection locked="0"/>
    </xf>
    <xf numFmtId="166" fontId="6" fillId="0" borderId="17" xfId="0" applyNumberFormat="1" applyFont="1" applyBorder="1" applyAlignment="1" applyProtection="1">
      <alignment horizontal="center" vertical="center"/>
      <protection locked="0"/>
    </xf>
    <xf numFmtId="166" fontId="6" fillId="0" borderId="35" xfId="0" applyNumberFormat="1" applyFont="1" applyBorder="1" applyAlignment="1" applyProtection="1">
      <alignment horizontal="center" vertical="center"/>
      <protection locked="0"/>
    </xf>
    <xf numFmtId="166" fontId="6" fillId="0" borderId="14" xfId="0" applyNumberFormat="1" applyFont="1" applyBorder="1" applyAlignment="1" applyProtection="1">
      <alignment horizontal="center" vertical="center"/>
      <protection locked="0"/>
    </xf>
    <xf numFmtId="166" fontId="6" fillId="0" borderId="15" xfId="0" applyNumberFormat="1" applyFont="1" applyBorder="1" applyAlignment="1" applyProtection="1">
      <alignment horizontal="center" vertical="center"/>
      <protection locked="0"/>
    </xf>
    <xf numFmtId="166" fontId="6" fillId="0" borderId="13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16" fillId="2" borderId="2" xfId="0" applyFont="1" applyFill="1" applyBorder="1" applyAlignment="1" applyProtection="1">
      <alignment horizontal="center" vertical="center" wrapText="1"/>
      <protection hidden="1"/>
    </xf>
    <xf numFmtId="0" fontId="16" fillId="2" borderId="4" xfId="0" applyFont="1" applyFill="1" applyBorder="1" applyAlignment="1" applyProtection="1">
      <alignment horizontal="center" vertical="center" wrapText="1"/>
      <protection hidden="1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16" fillId="2" borderId="13" xfId="0" applyFont="1" applyFill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/>
      <protection locked="0" hidden="1"/>
    </xf>
    <xf numFmtId="165" fontId="6" fillId="0" borderId="23" xfId="0" applyNumberFormat="1" applyFont="1" applyBorder="1" applyAlignment="1" applyProtection="1">
      <alignment horizontal="center" vertical="center"/>
      <protection locked="0"/>
    </xf>
    <xf numFmtId="165" fontId="6" fillId="0" borderId="30" xfId="0" applyNumberFormat="1" applyFont="1" applyBorder="1" applyAlignment="1" applyProtection="1">
      <alignment horizontal="center" vertical="center"/>
      <protection locked="0"/>
    </xf>
    <xf numFmtId="14" fontId="6" fillId="0" borderId="23" xfId="0" applyNumberFormat="1" applyFont="1" applyBorder="1" applyAlignment="1" applyProtection="1">
      <alignment horizontal="center" vertical="center"/>
      <protection locked="0"/>
    </xf>
    <xf numFmtId="16" fontId="6" fillId="0" borderId="16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Alignment="1" applyProtection="1">
      <alignment horizontal="center" vertical="center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65" fontId="6" fillId="0" borderId="33" xfId="0" applyNumberFormat="1" applyFont="1" applyBorder="1" applyAlignment="1" applyProtection="1">
      <alignment horizontal="center" vertical="center" wrapText="1"/>
      <protection locked="0"/>
    </xf>
    <xf numFmtId="0" fontId="6" fillId="4" borderId="15" xfId="0" applyFont="1" applyFill="1" applyBorder="1" applyAlignment="1" applyProtection="1">
      <alignment horizontal="center" vertical="center"/>
      <protection hidden="1"/>
    </xf>
    <xf numFmtId="1" fontId="6" fillId="0" borderId="40" xfId="0" applyNumberFormat="1" applyFont="1" applyBorder="1" applyAlignment="1" applyProtection="1">
      <alignment horizontal="center" vertical="center"/>
      <protection locked="0"/>
    </xf>
    <xf numFmtId="0" fontId="6" fillId="7" borderId="0" xfId="0" applyFont="1" applyFill="1" applyProtection="1">
      <protection hidden="1"/>
    </xf>
    <xf numFmtId="0" fontId="6" fillId="7" borderId="40" xfId="0" applyFont="1" applyFill="1" applyBorder="1" applyAlignment="1" applyProtection="1">
      <alignment horizontal="center" vertical="center" wrapText="1"/>
      <protection locked="0"/>
    </xf>
    <xf numFmtId="14" fontId="6" fillId="7" borderId="0" xfId="0" applyNumberFormat="1" applyFont="1" applyFill="1" applyAlignment="1" applyProtection="1">
      <alignment horizontal="center" vertical="center"/>
      <protection locked="0"/>
    </xf>
    <xf numFmtId="0" fontId="18" fillId="7" borderId="40" xfId="0" applyFont="1" applyFill="1" applyBorder="1" applyAlignment="1" applyProtection="1">
      <alignment horizontal="center" vertical="center"/>
      <protection locked="0"/>
    </xf>
    <xf numFmtId="0" fontId="18" fillId="0" borderId="0" xfId="0" applyFont="1" applyProtection="1">
      <protection hidden="1"/>
    </xf>
    <xf numFmtId="0" fontId="6" fillId="7" borderId="40" xfId="0" applyFont="1" applyFill="1" applyBorder="1" applyAlignment="1" applyProtection="1">
      <alignment horizontal="center" vertical="center"/>
      <protection locked="0"/>
    </xf>
    <xf numFmtId="165" fontId="6" fillId="0" borderId="40" xfId="0" applyNumberFormat="1" applyFont="1" applyBorder="1" applyAlignment="1" applyProtection="1">
      <alignment horizontal="center" vertical="center"/>
      <protection locked="0"/>
    </xf>
    <xf numFmtId="165" fontId="6" fillId="7" borderId="40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hidden="1"/>
    </xf>
    <xf numFmtId="0" fontId="12" fillId="2" borderId="22" xfId="0" applyFont="1" applyFill="1" applyBorder="1" applyAlignment="1" applyProtection="1">
      <alignment horizontal="center" vertical="center"/>
      <protection hidden="1"/>
    </xf>
    <xf numFmtId="165" fontId="6" fillId="0" borderId="40" xfId="0" applyNumberFormat="1" applyFont="1" applyBorder="1" applyAlignment="1">
      <alignment horizontal="center" vertical="center"/>
    </xf>
    <xf numFmtId="0" fontId="6" fillId="0" borderId="40" xfId="0" applyFont="1" applyBorder="1" applyAlignment="1" applyProtection="1">
      <alignment horizontal="center" vertical="center" wrapText="1"/>
      <protection locked="0"/>
    </xf>
    <xf numFmtId="165" fontId="18" fillId="7" borderId="40" xfId="0" applyNumberFormat="1" applyFont="1" applyFill="1" applyBorder="1" applyAlignment="1" applyProtection="1">
      <alignment horizontal="center" vertical="center"/>
      <protection locked="0"/>
    </xf>
    <xf numFmtId="0" fontId="14" fillId="7" borderId="40" xfId="0" applyFont="1" applyFill="1" applyBorder="1" applyAlignment="1" applyProtection="1">
      <alignment horizontal="center" vertical="center"/>
      <protection locked="0"/>
    </xf>
    <xf numFmtId="0" fontId="20" fillId="0" borderId="19" xfId="0" applyFont="1" applyBorder="1" applyAlignment="1" applyProtection="1">
      <alignment horizontal="center" vertical="center" wrapText="1"/>
      <protection locked="0"/>
    </xf>
    <xf numFmtId="14" fontId="6" fillId="5" borderId="40" xfId="0" applyNumberFormat="1" applyFont="1" applyFill="1" applyBorder="1" applyAlignment="1" applyProtection="1">
      <alignment horizontal="center" vertical="center"/>
      <protection locked="0"/>
    </xf>
    <xf numFmtId="165" fontId="20" fillId="0" borderId="33" xfId="0" applyNumberFormat="1" applyFont="1" applyBorder="1" applyAlignment="1" applyProtection="1">
      <alignment horizontal="center" vertical="center"/>
      <protection locked="0"/>
    </xf>
    <xf numFmtId="14" fontId="20" fillId="0" borderId="17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165" fontId="6" fillId="0" borderId="17" xfId="0" applyNumberFormat="1" applyFont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15" xfId="0" applyNumberFormat="1" applyFont="1" applyBorder="1" applyAlignment="1" applyProtection="1">
      <alignment horizontal="center" vertical="center"/>
      <protection locked="0"/>
    </xf>
    <xf numFmtId="0" fontId="18" fillId="7" borderId="40" xfId="1" applyNumberFormat="1" applyFont="1" applyFill="1" applyBorder="1" applyAlignment="1" applyProtection="1">
      <alignment horizontal="center" vertical="center"/>
      <protection locked="0"/>
    </xf>
    <xf numFmtId="0" fontId="22" fillId="9" borderId="3" xfId="0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vertical="center"/>
    </xf>
    <xf numFmtId="0" fontId="22" fillId="9" borderId="5" xfId="0" applyFont="1" applyFill="1" applyBorder="1" applyAlignment="1">
      <alignment vertical="center"/>
    </xf>
    <xf numFmtId="0" fontId="25" fillId="8" borderId="0" xfId="0" applyFont="1" applyFill="1" applyAlignment="1">
      <alignment horizontal="center" vertical="center"/>
    </xf>
    <xf numFmtId="0" fontId="26" fillId="9" borderId="0" xfId="0" applyFont="1" applyFill="1" applyAlignment="1">
      <alignment horizontal="right" vertical="center"/>
    </xf>
    <xf numFmtId="14" fontId="25" fillId="8" borderId="0" xfId="0" applyNumberFormat="1" applyFont="1" applyFill="1" applyAlignment="1">
      <alignment vertical="center"/>
    </xf>
    <xf numFmtId="0" fontId="24" fillId="8" borderId="6" xfId="0" applyFont="1" applyFill="1" applyBorder="1" applyAlignment="1">
      <alignment vertical="center"/>
    </xf>
    <xf numFmtId="0" fontId="22" fillId="9" borderId="0" xfId="0" applyFont="1" applyFill="1" applyAlignment="1">
      <alignment vertical="center"/>
    </xf>
    <xf numFmtId="0" fontId="24" fillId="8" borderId="44" xfId="0" applyFont="1" applyFill="1" applyBorder="1" applyAlignment="1">
      <alignment vertical="center"/>
    </xf>
    <xf numFmtId="0" fontId="24" fillId="8" borderId="8" xfId="0" applyFont="1" applyFill="1" applyBorder="1" applyAlignment="1">
      <alignment vertical="center"/>
    </xf>
    <xf numFmtId="0" fontId="0" fillId="0" borderId="45" xfId="0" applyBorder="1"/>
    <xf numFmtId="0" fontId="0" fillId="0" borderId="46" xfId="0" applyBorder="1"/>
    <xf numFmtId="0" fontId="1" fillId="10" borderId="47" xfId="0" applyFont="1" applyFill="1" applyBorder="1"/>
    <xf numFmtId="0" fontId="1" fillId="10" borderId="45" xfId="0" applyFont="1" applyFill="1" applyBorder="1"/>
    <xf numFmtId="0" fontId="0" fillId="0" borderId="40" xfId="0" applyBorder="1" applyAlignment="1">
      <alignment horizontal="center" vertical="center"/>
    </xf>
    <xf numFmtId="0" fontId="0" fillId="0" borderId="48" xfId="0" applyBorder="1" applyAlignment="1">
      <alignment horizontal="left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11" borderId="42" xfId="0" applyFill="1" applyBorder="1" applyAlignment="1">
      <alignment horizontal="center"/>
    </xf>
    <xf numFmtId="14" fontId="0" fillId="0" borderId="40" xfId="0" applyNumberFormat="1" applyBorder="1" applyAlignment="1">
      <alignment horizontal="center"/>
    </xf>
    <xf numFmtId="1" fontId="0" fillId="0" borderId="48" xfId="0" applyNumberFormat="1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41" xfId="0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6" fillId="0" borderId="26" xfId="0" applyFont="1" applyBorder="1" applyAlignment="1" applyProtection="1">
      <alignment horizontal="center" vertical="center"/>
      <protection locked="0" hidden="1"/>
    </xf>
    <xf numFmtId="0" fontId="12" fillId="2" borderId="32" xfId="0" applyFont="1" applyFill="1" applyBorder="1" applyAlignment="1" applyProtection="1">
      <alignment horizontal="center" vertical="center"/>
      <protection hidden="1"/>
    </xf>
    <xf numFmtId="0" fontId="27" fillId="0" borderId="0" xfId="0" applyFont="1"/>
    <xf numFmtId="14" fontId="6" fillId="6" borderId="40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165" fontId="6" fillId="0" borderId="22" xfId="0" applyNumberFormat="1" applyFont="1" applyBorder="1" applyAlignment="1" applyProtection="1">
      <alignment horizontal="center" vertical="center"/>
      <protection locked="0"/>
    </xf>
    <xf numFmtId="165" fontId="6" fillId="0" borderId="29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48" xfId="0" applyBorder="1" applyAlignment="1">
      <alignment horizontal="center"/>
    </xf>
    <xf numFmtId="0" fontId="29" fillId="0" borderId="54" xfId="0" applyFont="1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30" fillId="0" borderId="65" xfId="0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56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31" fillId="0" borderId="62" xfId="0" applyFont="1" applyBorder="1" applyAlignment="1">
      <alignment horizontal="left" vertical="center" wrapText="1"/>
    </xf>
    <xf numFmtId="0" fontId="0" fillId="13" borderId="69" xfId="0" applyFill="1" applyBorder="1" applyAlignment="1">
      <alignment horizontal="center"/>
    </xf>
    <xf numFmtId="0" fontId="0" fillId="13" borderId="70" xfId="0" applyFill="1" applyBorder="1" applyAlignment="1">
      <alignment horizontal="center"/>
    </xf>
    <xf numFmtId="14" fontId="0" fillId="13" borderId="69" xfId="0" applyNumberFormat="1" applyFill="1" applyBorder="1" applyAlignment="1">
      <alignment horizontal="center"/>
    </xf>
    <xf numFmtId="14" fontId="0" fillId="13" borderId="70" xfId="0" applyNumberFormat="1" applyFill="1" applyBorder="1" applyAlignment="1">
      <alignment horizontal="center"/>
    </xf>
    <xf numFmtId="0" fontId="0" fillId="13" borderId="71" xfId="0" applyFill="1" applyBorder="1" applyAlignment="1">
      <alignment horizontal="center"/>
    </xf>
    <xf numFmtId="0" fontId="0" fillId="0" borderId="71" xfId="0" applyBorder="1" applyAlignment="1">
      <alignment horizontal="center"/>
    </xf>
    <xf numFmtId="14" fontId="0" fillId="13" borderId="71" xfId="0" applyNumberFormat="1" applyFill="1" applyBorder="1" applyAlignment="1">
      <alignment horizontal="center"/>
    </xf>
    <xf numFmtId="14" fontId="0" fillId="13" borderId="68" xfId="0" applyNumberFormat="1" applyFill="1" applyBorder="1" applyAlignment="1">
      <alignment horizontal="center"/>
    </xf>
    <xf numFmtId="0" fontId="31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12" fontId="0" fillId="0" borderId="71" xfId="0" applyNumberFormat="1" applyBorder="1" applyAlignment="1">
      <alignment horizontal="center"/>
    </xf>
    <xf numFmtId="0" fontId="0" fillId="13" borderId="56" xfId="0" applyFill="1" applyBorder="1" applyAlignment="1">
      <alignment horizontal="center"/>
    </xf>
    <xf numFmtId="0" fontId="0" fillId="13" borderId="68" xfId="0" applyFill="1" applyBorder="1" applyAlignment="1">
      <alignment horizontal="center"/>
    </xf>
    <xf numFmtId="0" fontId="33" fillId="0" borderId="69" xfId="0" applyFont="1" applyBorder="1" applyAlignment="1">
      <alignment horizontal="center"/>
    </xf>
    <xf numFmtId="14" fontId="33" fillId="0" borderId="71" xfId="0" applyNumberFormat="1" applyFont="1" applyBorder="1" applyAlignment="1">
      <alignment horizontal="center"/>
    </xf>
    <xf numFmtId="14" fontId="0" fillId="7" borderId="70" xfId="0" applyNumberFormat="1" applyFill="1" applyBorder="1" applyAlignment="1">
      <alignment horizontal="center"/>
    </xf>
    <xf numFmtId="0" fontId="0" fillId="7" borderId="70" xfId="0" applyFill="1" applyBorder="1" applyAlignment="1">
      <alignment horizontal="center"/>
    </xf>
    <xf numFmtId="0" fontId="0" fillId="0" borderId="80" xfId="0" applyBorder="1" applyAlignment="1">
      <alignment horizontal="center"/>
    </xf>
    <xf numFmtId="14" fontId="0" fillId="7" borderId="68" xfId="0" applyNumberFormat="1" applyFill="1" applyBorder="1" applyAlignment="1">
      <alignment horizontal="center"/>
    </xf>
    <xf numFmtId="0" fontId="6" fillId="0" borderId="78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32" fillId="0" borderId="70" xfId="0" applyFont="1" applyBorder="1" applyAlignment="1">
      <alignment horizontal="center"/>
    </xf>
    <xf numFmtId="0" fontId="0" fillId="11" borderId="40" xfId="0" applyFill="1" applyBorder="1" applyAlignment="1">
      <alignment horizontal="center" vertical="center"/>
    </xf>
    <xf numFmtId="0" fontId="0" fillId="11" borderId="40" xfId="0" applyFill="1" applyBorder="1" applyAlignment="1">
      <alignment horizontal="center"/>
    </xf>
    <xf numFmtId="0" fontId="0" fillId="0" borderId="40" xfId="0" applyBorder="1" applyAlignment="1">
      <alignment horizontal="left"/>
    </xf>
    <xf numFmtId="0" fontId="0" fillId="11" borderId="40" xfId="0" applyFill="1" applyBorder="1" applyAlignment="1">
      <alignment horizontal="left"/>
    </xf>
    <xf numFmtId="1" fontId="0" fillId="0" borderId="40" xfId="0" applyNumberFormat="1" applyBorder="1" applyAlignment="1">
      <alignment horizontal="left"/>
    </xf>
    <xf numFmtId="0" fontId="0" fillId="11" borderId="42" xfId="0" applyFill="1" applyBorder="1" applyAlignment="1">
      <alignment horizontal="left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left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27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0" fontId="0" fillId="11" borderId="81" xfId="0" applyFill="1" applyBorder="1" applyAlignment="1">
      <alignment horizontal="center" vertical="center"/>
    </xf>
    <xf numFmtId="0" fontId="0" fillId="11" borderId="82" xfId="0" applyFill="1" applyBorder="1" applyAlignment="1">
      <alignment horizontal="center" vertical="center"/>
    </xf>
    <xf numFmtId="0" fontId="0" fillId="0" borderId="85" xfId="0" applyBorder="1" applyAlignment="1">
      <alignment horizontal="center"/>
    </xf>
    <xf numFmtId="0" fontId="0" fillId="11" borderId="83" xfId="0" applyFill="1" applyBorder="1" applyAlignment="1">
      <alignment horizontal="center" vertical="center"/>
    </xf>
    <xf numFmtId="14" fontId="0" fillId="0" borderId="86" xfId="0" applyNumberFormat="1" applyBorder="1" applyAlignment="1">
      <alignment horizontal="center" vertical="center"/>
    </xf>
    <xf numFmtId="14" fontId="0" fillId="0" borderId="87" xfId="0" applyNumberFormat="1" applyBorder="1" applyAlignment="1">
      <alignment horizontal="center" vertical="center"/>
    </xf>
    <xf numFmtId="14" fontId="0" fillId="0" borderId="87" xfId="0" applyNumberFormat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82" xfId="0" applyBorder="1" applyAlignment="1">
      <alignment horizontal="center" wrapText="1"/>
    </xf>
    <xf numFmtId="0" fontId="0" fillId="11" borderId="82" xfId="0" applyFill="1" applyBorder="1" applyAlignment="1">
      <alignment horizontal="center"/>
    </xf>
    <xf numFmtId="0" fontId="0" fillId="7" borderId="82" xfId="0" applyFill="1" applyBorder="1" applyAlignment="1">
      <alignment horizontal="center"/>
    </xf>
    <xf numFmtId="0" fontId="0" fillId="11" borderId="86" xfId="0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11" borderId="87" xfId="0" applyFill="1" applyBorder="1" applyAlignment="1">
      <alignment horizontal="center" vertical="center"/>
    </xf>
    <xf numFmtId="0" fontId="0" fillId="0" borderId="90" xfId="0" applyBorder="1" applyAlignment="1">
      <alignment horizontal="center"/>
    </xf>
    <xf numFmtId="0" fontId="0" fillId="11" borderId="88" xfId="0" applyFill="1" applyBorder="1" applyAlignment="1">
      <alignment horizontal="center" vertical="center"/>
    </xf>
    <xf numFmtId="0" fontId="0" fillId="0" borderId="42" xfId="0" applyBorder="1" applyAlignment="1">
      <alignment horizontal="left"/>
    </xf>
    <xf numFmtId="0" fontId="12" fillId="2" borderId="0" xfId="0" applyFont="1" applyFill="1" applyAlignment="1" applyProtection="1">
      <alignment horizontal="center" vertical="center"/>
      <protection hidden="1"/>
    </xf>
    <xf numFmtId="165" fontId="18" fillId="7" borderId="0" xfId="0" applyNumberFormat="1" applyFont="1" applyFill="1" applyAlignment="1" applyProtection="1">
      <alignment horizontal="center" vertical="center"/>
      <protection locked="0"/>
    </xf>
    <xf numFmtId="165" fontId="19" fillId="7" borderId="0" xfId="0" applyNumberFormat="1" applyFont="1" applyFill="1" applyAlignment="1" applyProtection="1">
      <alignment horizontal="center" vertical="center"/>
      <protection locked="0"/>
    </xf>
    <xf numFmtId="165" fontId="6" fillId="7" borderId="0" xfId="0" applyNumberFormat="1" applyFont="1" applyFill="1" applyAlignment="1" applyProtection="1">
      <alignment horizontal="center" vertical="center"/>
      <protection locked="0"/>
    </xf>
    <xf numFmtId="14" fontId="6" fillId="5" borderId="0" xfId="0" applyNumberFormat="1" applyFont="1" applyFill="1" applyAlignment="1" applyProtection="1">
      <alignment horizontal="center" vertical="center"/>
      <protection locked="0"/>
    </xf>
    <xf numFmtId="0" fontId="18" fillId="7" borderId="0" xfId="0" applyFont="1" applyFill="1" applyAlignment="1" applyProtection="1">
      <alignment horizontal="center" vertical="center"/>
      <protection locked="0"/>
    </xf>
    <xf numFmtId="0" fontId="34" fillId="0" borderId="91" xfId="0" applyFont="1" applyBorder="1" applyAlignment="1">
      <alignment horizontal="center"/>
    </xf>
    <xf numFmtId="0" fontId="1" fillId="12" borderId="56" xfId="0" applyFont="1" applyFill="1" applyBorder="1" applyAlignment="1">
      <alignment horizontal="center" wrapText="1"/>
    </xf>
    <xf numFmtId="0" fontId="1" fillId="12" borderId="56" xfId="0" applyFont="1" applyFill="1" applyBorder="1" applyAlignment="1">
      <alignment horizontal="center"/>
    </xf>
    <xf numFmtId="0" fontId="1" fillId="12" borderId="57" xfId="0" applyFont="1" applyFill="1" applyBorder="1" applyAlignment="1">
      <alignment horizontal="center"/>
    </xf>
    <xf numFmtId="0" fontId="21" fillId="0" borderId="63" xfId="0" applyFont="1" applyBorder="1" applyAlignment="1">
      <alignment horizontal="left" vertical="center"/>
    </xf>
    <xf numFmtId="0" fontId="21" fillId="0" borderId="64" xfId="0" applyFont="1" applyBorder="1" applyAlignment="1">
      <alignment horizontal="left" vertical="center"/>
    </xf>
    <xf numFmtId="0" fontId="21" fillId="0" borderId="66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6" fillId="0" borderId="23" xfId="0" applyFont="1" applyBorder="1" applyAlignment="1" applyProtection="1">
      <alignment horizontal="left" vertical="center" wrapText="1"/>
      <protection locked="0"/>
    </xf>
    <xf numFmtId="0" fontId="6" fillId="0" borderId="27" xfId="0" applyFont="1" applyBorder="1" applyAlignment="1" applyProtection="1">
      <alignment horizontal="left" vertical="center" wrapText="1"/>
      <protection locked="0"/>
    </xf>
    <xf numFmtId="0" fontId="6" fillId="0" borderId="30" xfId="0" applyFont="1" applyBorder="1" applyAlignment="1" applyProtection="1">
      <alignment horizontal="left" vertical="center" wrapText="1"/>
      <protection locked="0"/>
    </xf>
    <xf numFmtId="0" fontId="13" fillId="0" borderId="13" xfId="0" applyFont="1" applyBorder="1" applyAlignment="1" applyProtection="1">
      <alignment horizontal="center" vertical="center" textRotation="90"/>
      <protection locked="0"/>
    </xf>
    <xf numFmtId="0" fontId="13" fillId="0" borderId="14" xfId="0" applyFont="1" applyBorder="1" applyAlignment="1" applyProtection="1">
      <alignment horizontal="center" vertical="center" textRotation="90"/>
      <protection locked="0"/>
    </xf>
    <xf numFmtId="0" fontId="13" fillId="0" borderId="15" xfId="0" applyFont="1" applyBorder="1" applyAlignment="1" applyProtection="1">
      <alignment horizontal="center" vertical="center" textRotation="90"/>
      <protection locked="0"/>
    </xf>
    <xf numFmtId="0" fontId="6" fillId="0" borderId="32" xfId="0" applyFont="1" applyBorder="1" applyAlignment="1" applyProtection="1">
      <alignment horizontal="left" vertical="center" wrapText="1"/>
      <protection locked="0"/>
    </xf>
    <xf numFmtId="0" fontId="6" fillId="0" borderId="33" xfId="0" applyFont="1" applyBorder="1" applyAlignment="1" applyProtection="1">
      <alignment horizontal="left" vertical="center" wrapText="1"/>
      <protection locked="0"/>
    </xf>
    <xf numFmtId="0" fontId="6" fillId="0" borderId="34" xfId="0" applyFont="1" applyBorder="1" applyAlignment="1" applyProtection="1">
      <alignment horizontal="left" vertical="center" wrapText="1"/>
      <protection locked="0"/>
    </xf>
    <xf numFmtId="0" fontId="6" fillId="0" borderId="23" xfId="0" applyFont="1" applyBorder="1" applyAlignment="1" applyProtection="1">
      <alignment horizontal="left" vertical="center"/>
      <protection locked="0" hidden="1"/>
    </xf>
    <xf numFmtId="0" fontId="6" fillId="0" borderId="27" xfId="0" applyFont="1" applyBorder="1" applyAlignment="1" applyProtection="1">
      <alignment horizontal="left" vertical="center"/>
      <protection locked="0" hidden="1"/>
    </xf>
    <xf numFmtId="0" fontId="6" fillId="0" borderId="30" xfId="0" applyFont="1" applyBorder="1" applyAlignment="1" applyProtection="1">
      <alignment horizontal="left" vertical="center"/>
      <protection locked="0" hidden="1"/>
    </xf>
    <xf numFmtId="0" fontId="6" fillId="0" borderId="23" xfId="0" applyFont="1" applyBorder="1" applyAlignment="1" applyProtection="1">
      <alignment horizontal="left" vertical="center"/>
      <protection locked="0"/>
    </xf>
    <xf numFmtId="0" fontId="6" fillId="0" borderId="27" xfId="0" applyFont="1" applyBorder="1" applyAlignment="1" applyProtection="1">
      <alignment horizontal="left" vertical="center"/>
      <protection locked="0"/>
    </xf>
    <xf numFmtId="0" fontId="6" fillId="0" borderId="30" xfId="0" applyFont="1" applyBorder="1" applyAlignment="1" applyProtection="1">
      <alignment horizontal="left" vertical="center"/>
      <protection locked="0"/>
    </xf>
    <xf numFmtId="0" fontId="13" fillId="0" borderId="22" xfId="0" applyFont="1" applyBorder="1" applyAlignment="1" applyProtection="1">
      <alignment horizontal="left" vertical="center"/>
      <protection locked="0"/>
    </xf>
    <xf numFmtId="0" fontId="13" fillId="0" borderId="26" xfId="0" applyFont="1" applyBorder="1" applyAlignment="1" applyProtection="1">
      <alignment horizontal="left" vertical="center"/>
      <protection locked="0"/>
    </xf>
    <xf numFmtId="0" fontId="13" fillId="0" borderId="29" xfId="0" applyFont="1" applyBorder="1" applyAlignment="1" applyProtection="1">
      <alignment horizontal="left" vertical="center"/>
      <protection locked="0"/>
    </xf>
    <xf numFmtId="0" fontId="13" fillId="0" borderId="23" xfId="0" applyFont="1" applyBorder="1" applyAlignment="1" applyProtection="1">
      <alignment horizontal="left" vertical="center"/>
      <protection locked="0"/>
    </xf>
    <xf numFmtId="0" fontId="13" fillId="0" borderId="27" xfId="0" applyFont="1" applyBorder="1" applyAlignment="1" applyProtection="1">
      <alignment horizontal="left" vertical="center"/>
      <protection locked="0"/>
    </xf>
    <xf numFmtId="0" fontId="13" fillId="0" borderId="30" xfId="0" applyFont="1" applyBorder="1" applyAlignment="1" applyProtection="1">
      <alignment horizontal="left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14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vertical="center" textRotation="90"/>
      <protection hidden="1"/>
    </xf>
    <xf numFmtId="0" fontId="13" fillId="0" borderId="14" xfId="0" applyFont="1" applyBorder="1" applyAlignment="1" applyProtection="1">
      <alignment horizontal="center" vertical="center" textRotation="90"/>
      <protection hidden="1"/>
    </xf>
    <xf numFmtId="0" fontId="13" fillId="0" borderId="15" xfId="0" applyFont="1" applyBorder="1" applyAlignment="1" applyProtection="1">
      <alignment horizontal="center" vertical="center" textRotation="90"/>
      <protection hidden="1"/>
    </xf>
    <xf numFmtId="0" fontId="6" fillId="0" borderId="23" xfId="0" applyFont="1" applyBorder="1" applyAlignment="1" applyProtection="1">
      <alignment horizontal="left" vertical="center"/>
      <protection hidden="1"/>
    </xf>
    <xf numFmtId="0" fontId="6" fillId="0" borderId="27" xfId="0" applyFont="1" applyBorder="1" applyAlignment="1" applyProtection="1">
      <alignment horizontal="left" vertical="center"/>
      <protection hidden="1"/>
    </xf>
    <xf numFmtId="0" fontId="6" fillId="0" borderId="30" xfId="0" applyFont="1" applyBorder="1" applyAlignment="1" applyProtection="1">
      <alignment horizontal="left" vertical="center"/>
      <protection hidden="1"/>
    </xf>
    <xf numFmtId="0" fontId="14" fillId="0" borderId="23" xfId="0" applyFont="1" applyBorder="1" applyAlignment="1" applyProtection="1">
      <alignment horizontal="left" vertical="center"/>
      <protection hidden="1"/>
    </xf>
    <xf numFmtId="0" fontId="14" fillId="0" borderId="27" xfId="0" applyFont="1" applyBorder="1" applyAlignment="1" applyProtection="1">
      <alignment horizontal="left" vertical="center"/>
      <protection hidden="1"/>
    </xf>
    <xf numFmtId="0" fontId="14" fillId="0" borderId="30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4" fillId="0" borderId="8" xfId="0" applyFont="1" applyBorder="1" applyAlignment="1" applyProtection="1">
      <alignment horizontal="left" vertical="center"/>
      <protection hidden="1"/>
    </xf>
    <xf numFmtId="0" fontId="14" fillId="0" borderId="9" xfId="0" applyFont="1" applyBorder="1" applyAlignment="1" applyProtection="1">
      <alignment horizontal="left" vertical="center"/>
      <protection hidden="1"/>
    </xf>
    <xf numFmtId="0" fontId="14" fillId="0" borderId="32" xfId="0" applyFont="1" applyBorder="1" applyAlignment="1" applyProtection="1">
      <alignment horizontal="left" vertical="center"/>
      <protection hidden="1"/>
    </xf>
    <xf numFmtId="0" fontId="14" fillId="0" borderId="33" xfId="0" applyFont="1" applyBorder="1" applyAlignment="1" applyProtection="1">
      <alignment horizontal="left" vertical="center"/>
      <protection hidden="1"/>
    </xf>
    <xf numFmtId="0" fontId="14" fillId="0" borderId="34" xfId="0" applyFont="1" applyBorder="1" applyAlignment="1" applyProtection="1">
      <alignment horizontal="left" vertical="center"/>
      <protection hidden="1"/>
    </xf>
    <xf numFmtId="0" fontId="6" fillId="0" borderId="22" xfId="0" applyFont="1" applyBorder="1" applyAlignment="1" applyProtection="1">
      <alignment horizontal="left" vertical="center"/>
      <protection hidden="1"/>
    </xf>
    <xf numFmtId="0" fontId="6" fillId="0" borderId="26" xfId="0" applyFont="1" applyBorder="1" applyAlignment="1" applyProtection="1">
      <alignment horizontal="left" vertical="center"/>
      <protection hidden="1"/>
    </xf>
    <xf numFmtId="0" fontId="6" fillId="0" borderId="29" xfId="0" applyFont="1" applyBorder="1" applyAlignment="1" applyProtection="1">
      <alignment horizontal="left" vertical="center"/>
      <protection hidden="1"/>
    </xf>
    <xf numFmtId="0" fontId="13" fillId="0" borderId="23" xfId="0" applyFont="1" applyBorder="1" applyAlignment="1" applyProtection="1">
      <alignment horizontal="left" vertical="center"/>
      <protection hidden="1"/>
    </xf>
    <xf numFmtId="0" fontId="13" fillId="0" borderId="27" xfId="0" applyFont="1" applyBorder="1" applyAlignment="1" applyProtection="1">
      <alignment horizontal="left" vertical="center"/>
      <protection hidden="1"/>
    </xf>
    <xf numFmtId="0" fontId="13" fillId="0" borderId="30" xfId="0" applyFont="1" applyBorder="1" applyAlignment="1" applyProtection="1">
      <alignment horizontal="left" vertical="center"/>
      <protection hidden="1"/>
    </xf>
    <xf numFmtId="0" fontId="15" fillId="0" borderId="23" xfId="0" applyFont="1" applyBorder="1" applyAlignment="1" applyProtection="1">
      <alignment horizontal="left" vertical="center"/>
      <protection hidden="1"/>
    </xf>
    <xf numFmtId="0" fontId="15" fillId="0" borderId="27" xfId="0" applyFont="1" applyBorder="1" applyAlignment="1" applyProtection="1">
      <alignment horizontal="left" vertical="center"/>
      <protection hidden="1"/>
    </xf>
    <xf numFmtId="0" fontId="15" fillId="0" borderId="30" xfId="0" applyFont="1" applyBorder="1" applyAlignment="1" applyProtection="1">
      <alignment horizontal="left" vertical="center"/>
      <protection hidden="1"/>
    </xf>
    <xf numFmtId="0" fontId="14" fillId="0" borderId="22" xfId="0" applyFont="1" applyBorder="1" applyAlignment="1" applyProtection="1">
      <alignment horizontal="left" vertical="center"/>
      <protection hidden="1"/>
    </xf>
    <xf numFmtId="0" fontId="14" fillId="0" borderId="26" xfId="0" applyFont="1" applyBorder="1" applyAlignment="1" applyProtection="1">
      <alignment horizontal="left" vertical="center"/>
      <protection hidden="1"/>
    </xf>
    <xf numFmtId="0" fontId="14" fillId="0" borderId="29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center" vertical="center" textRotation="90" wrapText="1"/>
      <protection hidden="1"/>
    </xf>
    <xf numFmtId="0" fontId="13" fillId="0" borderId="14" xfId="0" applyFont="1" applyBorder="1" applyAlignment="1" applyProtection="1">
      <alignment horizontal="center" vertical="center" textRotation="90" wrapText="1"/>
      <protection hidden="1"/>
    </xf>
    <xf numFmtId="0" fontId="13" fillId="0" borderId="5" xfId="0" applyFont="1" applyBorder="1" applyAlignment="1" applyProtection="1">
      <alignment horizontal="center" vertical="center" textRotation="90" wrapText="1"/>
      <protection hidden="1"/>
    </xf>
    <xf numFmtId="0" fontId="13" fillId="0" borderId="15" xfId="0" applyFont="1" applyBorder="1" applyAlignment="1" applyProtection="1">
      <alignment horizontal="center" vertical="center" textRotation="90" wrapText="1"/>
      <protection hidden="1"/>
    </xf>
    <xf numFmtId="0" fontId="13" fillId="0" borderId="20" xfId="0" applyFont="1" applyBorder="1" applyAlignment="1" applyProtection="1">
      <alignment horizontal="left" vertical="center"/>
      <protection hidden="1"/>
    </xf>
    <xf numFmtId="0" fontId="13" fillId="0" borderId="28" xfId="0" applyFont="1" applyBorder="1" applyAlignment="1" applyProtection="1">
      <alignment horizontal="left" vertical="center"/>
      <protection hidden="1"/>
    </xf>
    <xf numFmtId="0" fontId="13" fillId="0" borderId="21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6" fillId="0" borderId="20" xfId="0" applyFont="1" applyBorder="1" applyAlignment="1" applyProtection="1">
      <alignment horizontal="left" vertical="center"/>
      <protection hidden="1"/>
    </xf>
    <xf numFmtId="0" fontId="6" fillId="0" borderId="28" xfId="0" applyFont="1" applyBorder="1" applyAlignment="1" applyProtection="1">
      <alignment horizontal="left" vertical="center"/>
      <protection hidden="1"/>
    </xf>
    <xf numFmtId="0" fontId="6" fillId="0" borderId="21" xfId="0" applyFont="1" applyBorder="1" applyAlignment="1" applyProtection="1">
      <alignment horizontal="left" vertical="center"/>
      <protection hidden="1"/>
    </xf>
    <xf numFmtId="0" fontId="6" fillId="0" borderId="32" xfId="0" applyFont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left" vertical="center"/>
      <protection hidden="1"/>
    </xf>
    <xf numFmtId="0" fontId="13" fillId="0" borderId="18" xfId="0" applyFont="1" applyBorder="1" applyAlignment="1" applyProtection="1">
      <alignment horizontal="left" vertical="center"/>
      <protection hidden="1"/>
    </xf>
    <xf numFmtId="0" fontId="13" fillId="0" borderId="31" xfId="0" applyFont="1" applyBorder="1" applyAlignment="1" applyProtection="1">
      <alignment horizontal="left" vertical="center"/>
      <protection hidden="1"/>
    </xf>
    <xf numFmtId="0" fontId="13" fillId="0" borderId="19" xfId="0" applyFont="1" applyBorder="1" applyAlignment="1" applyProtection="1">
      <alignment horizontal="left" vertical="center"/>
      <protection hidden="1"/>
    </xf>
    <xf numFmtId="0" fontId="13" fillId="0" borderId="22" xfId="0" applyFont="1" applyBorder="1" applyAlignment="1" applyProtection="1">
      <alignment horizontal="left" vertical="center"/>
      <protection hidden="1"/>
    </xf>
    <xf numFmtId="0" fontId="13" fillId="0" borderId="26" xfId="0" applyFont="1" applyBorder="1" applyAlignment="1" applyProtection="1">
      <alignment horizontal="left" vertical="center"/>
      <protection hidden="1"/>
    </xf>
    <xf numFmtId="0" fontId="13" fillId="0" borderId="29" xfId="0" applyFont="1" applyBorder="1" applyAlignment="1" applyProtection="1">
      <alignment horizontal="left" vertical="center"/>
      <protection hidden="1"/>
    </xf>
    <xf numFmtId="0" fontId="6" fillId="0" borderId="7" xfId="0" applyFont="1" applyBorder="1" applyAlignment="1" applyProtection="1">
      <alignment horizontal="left" vertical="center"/>
      <protection hidden="1"/>
    </xf>
    <xf numFmtId="0" fontId="6" fillId="0" borderId="8" xfId="0" applyFont="1" applyBorder="1" applyAlignment="1" applyProtection="1">
      <alignment horizontal="left" vertical="center"/>
      <protection hidden="1"/>
    </xf>
    <xf numFmtId="0" fontId="6" fillId="0" borderId="9" xfId="0" applyFont="1" applyBorder="1" applyAlignment="1" applyProtection="1">
      <alignment horizontal="left" vertical="center"/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6" fillId="2" borderId="5" xfId="0" applyFont="1" applyFill="1" applyBorder="1" applyAlignment="1" applyProtection="1">
      <alignment horizontal="center" vertical="center"/>
      <protection hidden="1"/>
    </xf>
    <xf numFmtId="0" fontId="16" fillId="2" borderId="6" xfId="0" applyFont="1" applyFill="1" applyBorder="1" applyAlignment="1" applyProtection="1">
      <alignment horizontal="center" vertical="center"/>
      <protection hidden="1"/>
    </xf>
    <xf numFmtId="0" fontId="16" fillId="2" borderId="18" xfId="0" applyFont="1" applyFill="1" applyBorder="1" applyAlignment="1" applyProtection="1">
      <alignment horizontal="center" vertical="center"/>
      <protection hidden="1"/>
    </xf>
    <xf numFmtId="0" fontId="16" fillId="2" borderId="19" xfId="0" applyFont="1" applyFill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top" wrapText="1"/>
      <protection locked="0"/>
    </xf>
    <xf numFmtId="0" fontId="6" fillId="0" borderId="29" xfId="0" applyFont="1" applyBorder="1" applyAlignment="1" applyProtection="1">
      <alignment horizontal="center" vertical="top" wrapText="1"/>
      <protection locked="0"/>
    </xf>
    <xf numFmtId="0" fontId="6" fillId="0" borderId="20" xfId="0" applyFont="1" applyBorder="1" applyAlignment="1" applyProtection="1">
      <alignment horizontal="center" vertical="top" wrapText="1"/>
      <protection locked="0"/>
    </xf>
    <xf numFmtId="0" fontId="6" fillId="0" borderId="21" xfId="0" applyFont="1" applyBorder="1" applyAlignment="1" applyProtection="1">
      <alignment horizontal="center" vertical="top" wrapText="1"/>
      <protection locked="0"/>
    </xf>
    <xf numFmtId="0" fontId="6" fillId="0" borderId="10" xfId="0" applyFont="1" applyBorder="1" applyAlignment="1" applyProtection="1">
      <alignment horizontal="center" vertical="top" wrapText="1"/>
      <protection locked="0"/>
    </xf>
    <xf numFmtId="0" fontId="6" fillId="0" borderId="12" xfId="0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16" fillId="2" borderId="2" xfId="0" applyFont="1" applyFill="1" applyBorder="1" applyAlignment="1" applyProtection="1">
      <alignment horizontal="center" vertical="center" wrapText="1"/>
      <protection hidden="1"/>
    </xf>
    <xf numFmtId="0" fontId="16" fillId="2" borderId="3" xfId="0" applyFont="1" applyFill="1" applyBorder="1" applyAlignment="1" applyProtection="1">
      <alignment horizontal="center" vertical="center" wrapText="1"/>
      <protection hidden="1"/>
    </xf>
    <xf numFmtId="0" fontId="16" fillId="2" borderId="4" xfId="0" applyFont="1" applyFill="1" applyBorder="1" applyAlignment="1" applyProtection="1">
      <alignment horizontal="center" vertical="center" wrapText="1"/>
      <protection hidden="1"/>
    </xf>
    <xf numFmtId="0" fontId="16" fillId="2" borderId="10" xfId="0" applyFont="1" applyFill="1" applyBorder="1" applyAlignment="1" applyProtection="1">
      <alignment horizontal="center" vertical="center" wrapText="1"/>
      <protection hidden="1"/>
    </xf>
    <xf numFmtId="0" fontId="16" fillId="2" borderId="12" xfId="0" applyFont="1" applyFill="1" applyBorder="1" applyAlignment="1" applyProtection="1">
      <alignment horizontal="center" vertical="center" wrapText="1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165" fontId="0" fillId="0" borderId="23" xfId="0" applyNumberFormat="1" applyBorder="1" applyAlignment="1" applyProtection="1">
      <alignment horizontal="center" vertical="center"/>
      <protection locked="0"/>
    </xf>
    <xf numFmtId="165" fontId="0" fillId="0" borderId="27" xfId="0" applyNumberFormat="1" applyBorder="1" applyAlignment="1" applyProtection="1">
      <alignment horizontal="center" vertical="center"/>
      <protection locked="0"/>
    </xf>
    <xf numFmtId="165" fontId="0" fillId="0" borderId="30" xfId="0" applyNumberFormat="1" applyBorder="1" applyAlignment="1" applyProtection="1">
      <alignment horizontal="center" vertical="center"/>
      <protection locked="0"/>
    </xf>
    <xf numFmtId="165" fontId="6" fillId="0" borderId="23" xfId="0" applyNumberFormat="1" applyFont="1" applyBorder="1" applyAlignment="1" applyProtection="1">
      <alignment horizontal="center" vertical="center"/>
      <protection locked="0"/>
    </xf>
    <xf numFmtId="165" fontId="6" fillId="0" borderId="27" xfId="0" applyNumberFormat="1" applyFont="1" applyBorder="1" applyAlignment="1" applyProtection="1">
      <alignment horizontal="center" vertical="center"/>
      <protection locked="0"/>
    </xf>
    <xf numFmtId="165" fontId="6" fillId="0" borderId="30" xfId="0" applyNumberFormat="1" applyFont="1" applyBorder="1" applyAlignment="1" applyProtection="1">
      <alignment horizontal="center" vertical="center"/>
      <protection locked="0"/>
    </xf>
    <xf numFmtId="165" fontId="0" fillId="0" borderId="20" xfId="0" applyNumberFormat="1" applyBorder="1" applyAlignment="1" applyProtection="1">
      <alignment horizontal="center" vertical="center"/>
      <protection locked="0"/>
    </xf>
    <xf numFmtId="165" fontId="0" fillId="0" borderId="28" xfId="0" applyNumberFormat="1" applyBorder="1" applyAlignment="1" applyProtection="1">
      <alignment horizontal="center" vertical="center"/>
      <protection locked="0"/>
    </xf>
    <xf numFmtId="165" fontId="0" fillId="0" borderId="21" xfId="0" applyNumberFormat="1" applyBorder="1" applyAlignment="1" applyProtection="1">
      <alignment horizontal="center" vertical="center"/>
      <protection locked="0"/>
    </xf>
    <xf numFmtId="165" fontId="6" fillId="0" borderId="22" xfId="0" applyNumberFormat="1" applyFont="1" applyBorder="1" applyAlignment="1" applyProtection="1">
      <alignment horizontal="center" vertical="center"/>
      <protection locked="0"/>
    </xf>
    <xf numFmtId="165" fontId="6" fillId="0" borderId="29" xfId="0" applyNumberFormat="1" applyFont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 wrapText="1"/>
      <protection hidden="1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27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6" fillId="0" borderId="27" xfId="0" applyFont="1" applyBorder="1" applyAlignment="1" applyProtection="1">
      <alignment horizontal="center" vertical="center" wrapText="1"/>
      <protection locked="0"/>
    </xf>
    <xf numFmtId="0" fontId="6" fillId="0" borderId="30" xfId="0" applyFont="1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0" borderId="41" xfId="0" applyFont="1" applyBorder="1" applyAlignment="1" applyProtection="1">
      <alignment horizontal="center" vertical="top" wrapText="1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1" fillId="2" borderId="19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6" fillId="0" borderId="39" xfId="0" applyFont="1" applyBorder="1" applyAlignment="1" applyProtection="1">
      <alignment horizontal="center" vertical="top" wrapText="1"/>
      <protection hidden="1"/>
    </xf>
    <xf numFmtId="0" fontId="6" fillId="0" borderId="40" xfId="0" applyFont="1" applyBorder="1" applyAlignment="1" applyProtection="1">
      <alignment horizontal="center" vertical="top" wrapText="1"/>
      <protection hidden="1"/>
    </xf>
    <xf numFmtId="14" fontId="0" fillId="0" borderId="10" xfId="0" applyNumberFormat="1" applyBorder="1" applyAlignment="1" applyProtection="1">
      <alignment horizontal="center" vertical="center"/>
      <protection hidden="1"/>
    </xf>
    <xf numFmtId="14" fontId="0" fillId="0" borderId="12" xfId="0" applyNumberFormat="1" applyBorder="1" applyAlignment="1" applyProtection="1">
      <alignment horizontal="center" vertical="center"/>
      <protection hidden="1"/>
    </xf>
    <xf numFmtId="0" fontId="6" fillId="7" borderId="40" xfId="0" applyFont="1" applyFill="1" applyBorder="1" applyAlignment="1" applyProtection="1">
      <alignment horizontal="center" vertical="center"/>
      <protection locked="0"/>
    </xf>
    <xf numFmtId="165" fontId="19" fillId="7" borderId="42" xfId="0" applyNumberFormat="1" applyFont="1" applyFill="1" applyBorder="1" applyAlignment="1" applyProtection="1">
      <alignment horizontal="center" vertical="center"/>
      <protection locked="0"/>
    </xf>
    <xf numFmtId="165" fontId="19" fillId="7" borderId="27" xfId="0" applyNumberFormat="1" applyFont="1" applyFill="1" applyBorder="1" applyAlignment="1" applyProtection="1">
      <alignment horizontal="center" vertical="center"/>
      <protection locked="0"/>
    </xf>
    <xf numFmtId="165" fontId="19" fillId="7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left" vertical="top"/>
      <protection hidden="1"/>
    </xf>
    <xf numFmtId="0" fontId="13" fillId="0" borderId="11" xfId="0" applyFont="1" applyBorder="1" applyAlignment="1" applyProtection="1">
      <alignment horizontal="left" vertical="top"/>
      <protection hidden="1"/>
    </xf>
    <xf numFmtId="0" fontId="13" fillId="0" borderId="12" xfId="0" applyFont="1" applyBorder="1" applyAlignment="1" applyProtection="1">
      <alignment horizontal="left" vertical="top"/>
      <protection hidden="1"/>
    </xf>
    <xf numFmtId="0" fontId="13" fillId="0" borderId="20" xfId="0" applyFont="1" applyBorder="1" applyAlignment="1" applyProtection="1">
      <alignment horizontal="left" vertical="top"/>
      <protection hidden="1"/>
    </xf>
    <xf numFmtId="0" fontId="13" fillId="0" borderId="28" xfId="0" applyFont="1" applyBorder="1" applyAlignment="1" applyProtection="1">
      <alignment horizontal="left" vertical="top"/>
      <protection hidden="1"/>
    </xf>
    <xf numFmtId="0" fontId="13" fillId="0" borderId="21" xfId="0" applyFont="1" applyBorder="1" applyAlignment="1" applyProtection="1">
      <alignment horizontal="left" vertical="top"/>
      <protection hidden="1"/>
    </xf>
    <xf numFmtId="0" fontId="6" fillId="7" borderId="42" xfId="0" applyFont="1" applyFill="1" applyBorder="1" applyAlignment="1" applyProtection="1">
      <alignment horizontal="center" vertical="center"/>
      <protection locked="0"/>
    </xf>
    <xf numFmtId="0" fontId="6" fillId="7" borderId="27" xfId="0" applyFont="1" applyFill="1" applyBorder="1" applyAlignment="1" applyProtection="1">
      <alignment horizontal="center" vertical="center"/>
      <protection locked="0"/>
    </xf>
    <xf numFmtId="0" fontId="6" fillId="7" borderId="43" xfId="0" applyFont="1" applyFill="1" applyBorder="1" applyAlignment="1" applyProtection="1">
      <alignment horizontal="center" vertical="center"/>
      <protection locked="0"/>
    </xf>
    <xf numFmtId="165" fontId="13" fillId="7" borderId="42" xfId="0" applyNumberFormat="1" applyFont="1" applyFill="1" applyBorder="1" applyAlignment="1" applyProtection="1">
      <alignment horizontal="center" vertical="center"/>
      <protection locked="0"/>
    </xf>
    <xf numFmtId="165" fontId="13" fillId="7" borderId="27" xfId="0" applyNumberFormat="1" applyFont="1" applyFill="1" applyBorder="1" applyAlignment="1" applyProtection="1">
      <alignment horizontal="center" vertical="center"/>
      <protection locked="0"/>
    </xf>
    <xf numFmtId="165" fontId="13" fillId="7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40" xfId="0" applyFont="1" applyBorder="1" applyAlignment="1" applyProtection="1">
      <alignment horizontal="center" vertical="center" wrapText="1"/>
      <protection locked="0"/>
    </xf>
    <xf numFmtId="0" fontId="13" fillId="0" borderId="40" xfId="0" applyFont="1" applyBorder="1" applyAlignment="1" applyProtection="1">
      <alignment horizontal="center" vertical="center"/>
      <protection hidden="1"/>
    </xf>
    <xf numFmtId="0" fontId="9" fillId="0" borderId="23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0" fontId="16" fillId="2" borderId="11" xfId="0" applyFont="1" applyFill="1" applyBorder="1" applyAlignment="1" applyProtection="1">
      <alignment horizontal="center" vertical="center"/>
      <protection hidden="1"/>
    </xf>
    <xf numFmtId="0" fontId="16" fillId="2" borderId="12" xfId="0" applyFont="1" applyFill="1" applyBorder="1" applyAlignment="1" applyProtection="1">
      <alignment horizontal="center" vertical="center"/>
      <protection hidden="1"/>
    </xf>
    <xf numFmtId="0" fontId="16" fillId="2" borderId="22" xfId="0" applyFont="1" applyFill="1" applyBorder="1" applyAlignment="1" applyProtection="1">
      <alignment horizontal="center" vertical="center"/>
      <protection hidden="1"/>
    </xf>
    <xf numFmtId="0" fontId="16" fillId="2" borderId="29" xfId="0" applyFont="1" applyFill="1" applyBorder="1" applyAlignment="1" applyProtection="1">
      <alignment horizontal="center" vertical="center"/>
      <protection hidden="1"/>
    </xf>
    <xf numFmtId="0" fontId="16" fillId="2" borderId="20" xfId="0" applyFont="1" applyFill="1" applyBorder="1" applyAlignment="1" applyProtection="1">
      <alignment horizontal="center" vertical="center"/>
      <protection hidden="1"/>
    </xf>
    <xf numFmtId="0" fontId="16" fillId="2" borderId="21" xfId="0" applyFont="1" applyFill="1" applyBorder="1" applyAlignment="1" applyProtection="1">
      <alignment horizontal="center" vertical="center"/>
      <protection hidden="1"/>
    </xf>
    <xf numFmtId="14" fontId="6" fillId="0" borderId="10" xfId="0" applyNumberFormat="1" applyFont="1" applyBorder="1" applyAlignment="1" applyProtection="1">
      <alignment horizontal="center" vertical="center"/>
      <protection hidden="1"/>
    </xf>
    <xf numFmtId="14" fontId="6" fillId="0" borderId="11" xfId="0" applyNumberFormat="1" applyFont="1" applyBorder="1" applyAlignment="1" applyProtection="1">
      <alignment horizontal="center" vertical="center"/>
      <protection hidden="1"/>
    </xf>
    <xf numFmtId="14" fontId="6" fillId="0" borderId="12" xfId="0" applyNumberFormat="1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0" fontId="16" fillId="2" borderId="22" xfId="0" applyFont="1" applyFill="1" applyBorder="1" applyAlignment="1" applyProtection="1">
      <alignment horizontal="center" vertical="center" wrapText="1"/>
      <protection hidden="1"/>
    </xf>
    <xf numFmtId="0" fontId="16" fillId="2" borderId="26" xfId="0" applyFont="1" applyFill="1" applyBorder="1" applyAlignment="1" applyProtection="1">
      <alignment horizontal="center" vertical="center" wrapText="1"/>
      <protection hidden="1"/>
    </xf>
    <xf numFmtId="0" fontId="16" fillId="2" borderId="29" xfId="0" applyFont="1" applyFill="1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16" fillId="2" borderId="16" xfId="0" applyFont="1" applyFill="1" applyBorder="1" applyAlignment="1" applyProtection="1">
      <alignment horizontal="center" vertical="center" wrapText="1"/>
      <protection hidden="1"/>
    </xf>
    <xf numFmtId="0" fontId="16" fillId="2" borderId="14" xfId="0" applyFont="1" applyFill="1" applyBorder="1" applyAlignment="1" applyProtection="1">
      <alignment horizontal="center" vertical="center" wrapText="1"/>
      <protection hidden="1"/>
    </xf>
    <xf numFmtId="0" fontId="16" fillId="2" borderId="23" xfId="0" applyFont="1" applyFill="1" applyBorder="1" applyAlignment="1" applyProtection="1">
      <alignment horizontal="center" vertical="center"/>
      <protection hidden="1"/>
    </xf>
    <xf numFmtId="0" fontId="16" fillId="2" borderId="30" xfId="0" applyFont="1" applyFill="1" applyBorder="1" applyAlignment="1" applyProtection="1">
      <alignment horizontal="center" vertical="center"/>
      <protection hidden="1"/>
    </xf>
    <xf numFmtId="0" fontId="13" fillId="0" borderId="42" xfId="0" applyFont="1" applyBorder="1" applyAlignment="1" applyProtection="1">
      <alignment horizontal="center" vertical="center"/>
      <protection hidden="1"/>
    </xf>
    <xf numFmtId="0" fontId="13" fillId="0" borderId="27" xfId="0" applyFont="1" applyBorder="1" applyAlignment="1" applyProtection="1">
      <alignment horizontal="center" vertical="center"/>
      <protection hidden="1"/>
    </xf>
    <xf numFmtId="0" fontId="13" fillId="0" borderId="43" xfId="0" applyFont="1" applyBorder="1" applyAlignment="1" applyProtection="1">
      <alignment horizontal="center" vertical="center"/>
      <protection hidden="1"/>
    </xf>
    <xf numFmtId="0" fontId="22" fillId="9" borderId="2" xfId="0" applyFon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center" vertical="center"/>
    </xf>
    <xf numFmtId="14" fontId="23" fillId="9" borderId="3" xfId="0" applyNumberFormat="1" applyFont="1" applyFill="1" applyBorder="1" applyAlignment="1">
      <alignment horizontal="center" vertical="center" textRotation="45"/>
    </xf>
    <xf numFmtId="14" fontId="23" fillId="9" borderId="0" xfId="0" applyNumberFormat="1" applyFont="1" applyFill="1" applyAlignment="1">
      <alignment horizontal="center" vertical="center" textRotation="45"/>
    </xf>
    <xf numFmtId="14" fontId="23" fillId="9" borderId="8" xfId="0" applyNumberFormat="1" applyFont="1" applyFill="1" applyBorder="1" applyAlignment="1">
      <alignment horizontal="center" vertical="center" textRotation="45"/>
    </xf>
    <xf numFmtId="0" fontId="22" fillId="9" borderId="7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12" borderId="67" xfId="0" applyFont="1" applyFill="1" applyBorder="1" applyAlignment="1">
      <alignment horizontal="center"/>
    </xf>
    <xf numFmtId="0" fontId="2" fillId="12" borderId="75" xfId="0" applyFont="1" applyFill="1" applyBorder="1" applyAlignment="1">
      <alignment horizontal="center"/>
    </xf>
    <xf numFmtId="0" fontId="2" fillId="12" borderId="76" xfId="0" applyFont="1" applyFill="1" applyBorder="1" applyAlignment="1">
      <alignment horizontal="center"/>
    </xf>
    <xf numFmtId="0" fontId="2" fillId="12" borderId="77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8" xfId="0" applyBorder="1" applyAlignment="1">
      <alignment horizontal="center"/>
    </xf>
    <xf numFmtId="0" fontId="28" fillId="0" borderId="51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" fillId="12" borderId="72" xfId="0" applyFont="1" applyFill="1" applyBorder="1" applyAlignment="1">
      <alignment horizontal="center"/>
    </xf>
    <xf numFmtId="0" fontId="2" fillId="12" borderId="73" xfId="0" applyFont="1" applyFill="1" applyBorder="1" applyAlignment="1">
      <alignment horizontal="center"/>
    </xf>
    <xf numFmtId="0" fontId="2" fillId="12" borderId="74" xfId="0" applyFont="1" applyFill="1" applyBorder="1" applyAlignment="1">
      <alignment horizontal="center"/>
    </xf>
    <xf numFmtId="0" fontId="2" fillId="12" borderId="56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61">
    <dxf>
      <alignment horizontal="center"/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0F9FF"/>
      <color rgb="FF69B6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53929</xdr:colOff>
      <xdr:row>2</xdr:row>
      <xdr:rowOff>150576</xdr:rowOff>
    </xdr:from>
    <xdr:to>
      <xdr:col>4</xdr:col>
      <xdr:colOff>799486</xdr:colOff>
      <xdr:row>5</xdr:row>
      <xdr:rowOff>155338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58" y="262635"/>
          <a:ext cx="2536008" cy="689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2</xdr:row>
      <xdr:rowOff>264103</xdr:rowOff>
    </xdr:from>
    <xdr:to>
      <xdr:col>3</xdr:col>
      <xdr:colOff>878898</xdr:colOff>
      <xdr:row>5</xdr:row>
      <xdr:rowOff>101437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94" t="16081" r="9359" b="16737"/>
        <a:stretch/>
      </xdr:blipFill>
      <xdr:spPr>
        <a:xfrm>
          <a:off x="82261" y="376671"/>
          <a:ext cx="2346614" cy="5195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98807</xdr:colOff>
      <xdr:row>2</xdr:row>
      <xdr:rowOff>144970</xdr:rowOff>
    </xdr:from>
    <xdr:to>
      <xdr:col>4</xdr:col>
      <xdr:colOff>509666</xdr:colOff>
      <xdr:row>5</xdr:row>
      <xdr:rowOff>84772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730356" y="1149236"/>
          <a:ext cx="2553984" cy="809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28574</xdr:rowOff>
    </xdr:from>
    <xdr:to>
      <xdr:col>0</xdr:col>
      <xdr:colOff>827089</xdr:colOff>
      <xdr:row>1</xdr:row>
      <xdr:rowOff>73025</xdr:rowOff>
    </xdr:to>
    <xdr:pic>
      <xdr:nvPicPr>
        <xdr:cNvPr id="2" name="irc_mi" descr="http://www.team231.com/images/oceaneering-blue.jpg">
          <a:extLst>
            <a:ext uri="{FF2B5EF4-FFF2-40B4-BE49-F238E27FC236}">
              <a16:creationId xmlns:a16="http://schemas.microsoft.com/office/drawing/2014/main" id="{1551C3AC-8A9B-49CA-9BE5-DA1B3A2E80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8574"/>
          <a:ext cx="827088" cy="2286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47625</xdr:rowOff>
    </xdr:from>
    <xdr:to>
      <xdr:col>1</xdr:col>
      <xdr:colOff>2114550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6A0B1-B2E6-4627-B2E0-6E405A179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238125"/>
          <a:ext cx="2066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asmin Pereira" id="{78DDEAD6-4E6C-43DD-8295-778E78EFF028}" userId="S::ypereira@oceaneering.com::7509f0e1-1a56-44d5-aa28-8caaf28cd53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E40" totalsRowShown="0" headerRowDxfId="9" dataDxfId="8" headerRowBorderDxfId="6" tableBorderDxfId="7" totalsRowBorderDxfId="5">
  <tableColumns count="5">
    <tableColumn id="1" xr3:uid="{00000000-0010-0000-0000-000001000000}" name="ITEM" dataDxfId="4"/>
    <tableColumn id="2" xr3:uid="{00000000-0010-0000-0000-000002000000}" name="MEDIDAS" dataDxfId="3"/>
    <tableColumn id="3" xr3:uid="{00000000-0010-0000-0000-000003000000}" name="CERTIFICADO" dataDxfId="2"/>
    <tableColumn id="4" xr3:uid="{00000000-0010-0000-0000-000004000000}" name="DATA CERTIFICAÇÃO" dataDxfId="1"/>
    <tableColumn id="5" xr3:uid="{00000000-0010-0000-0000-000005000000}" name="VALIDA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6-03-07T06:11:01.01" personId="{78DDEAD6-4E6C-43DD-8295-778E78EFF028}" id="{7FBD82B3-B1C1-4691-A84C-4750F652D2DE}">
    <text>Os dados da eslinga são dados retidos do histórico do checklist.</text>
  </threadedComment>
  <threadedComment ref="B25" dT="2026-03-06T23:54:59.23" personId="{78DDEAD6-4E6C-43DD-8295-778E78EFF028}" id="{C89E3D1A-B537-4C4F-A2C3-BBBADFC6E53C}">
    <text xml:space="preserve">Historico preservado. Não é possivel visalizar em loco </text>
  </threadedComment>
  <threadedComment ref="B37" dT="2026-03-07T02:53:39.06" personId="{78DDEAD6-4E6C-43DD-8295-778E78EFF028}" id="{F01C406E-FE39-4C94-84C4-5EEE5F03DF9E}">
    <text>Historico preservado. Não é possivel visalizar em loco</text>
  </threadedComment>
  <threadedComment ref="B38" dT="2026-03-07T02:53:50.95" personId="{78DDEAD6-4E6C-43DD-8295-778E78EFF028}" id="{19BA639D-BF0D-42BC-8747-5E09EAFB63FF}">
    <text>Historico preservado. Não é possivel visalizar em loco.</text>
  </threadedComment>
  <threadedComment ref="B99" dT="2026-03-07T06:02:39.14" personId="{78DDEAD6-4E6C-43DD-8295-778E78EFF028}" id="{E4B2CA7C-9429-4580-B3B9-6DE8FF7AFE1B}">
    <text>Historico preservado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pageSetUpPr fitToPage="1"/>
  </sheetPr>
  <dimension ref="A1:X184"/>
  <sheetViews>
    <sheetView showGridLines="0" tabSelected="1" zoomScale="82" zoomScaleNormal="82" zoomScaleSheetLayoutView="85" workbookViewId="0">
      <pane xSplit="5" ySplit="11" topLeftCell="F12" activePane="bottomRight" state="frozen"/>
      <selection pane="bottomRight" activeCell="F16" sqref="F16"/>
      <selection pane="bottomLeft" activeCell="K24" sqref="K24"/>
      <selection pane="topRight" activeCell="K24" sqref="K24"/>
    </sheetView>
  </sheetViews>
  <sheetFormatPr defaultColWidth="0" defaultRowHeight="15" zeroHeight="1"/>
  <cols>
    <col min="1" max="1" width="0.85546875" style="1" customWidth="1"/>
    <col min="2" max="2" width="9.42578125" style="3" bestFit="1" customWidth="1"/>
    <col min="3" max="4" width="8.5703125" style="3" customWidth="1"/>
    <col min="5" max="5" width="13.5703125" style="3" customWidth="1"/>
    <col min="6" max="6" width="21.5703125" style="3" customWidth="1"/>
    <col min="7" max="9" width="13.5703125" style="3" customWidth="1"/>
    <col min="10" max="10" width="27.42578125" style="3" customWidth="1"/>
    <col min="11" max="11" width="27" style="3" bestFit="1" customWidth="1"/>
    <col min="12" max="12" width="21.5703125" style="3" customWidth="1"/>
    <col min="13" max="13" width="13.5703125" style="3" customWidth="1"/>
    <col min="14" max="14" width="17.5703125" style="3" customWidth="1"/>
    <col min="15" max="15" width="13.5703125" style="3" customWidth="1"/>
    <col min="16" max="16" width="0.85546875" style="3" customWidth="1"/>
    <col min="17" max="18" width="12.42578125" style="3" customWidth="1"/>
    <col min="19" max="20" width="15.5703125" style="3" customWidth="1"/>
    <col min="21" max="22" width="12.42578125" style="1" customWidth="1"/>
    <col min="23" max="23" width="26.5703125" style="1" customWidth="1"/>
    <col min="24" max="24" width="0.85546875" style="1" customWidth="1"/>
    <col min="25" max="16384" width="9.140625" style="1" hidden="1"/>
  </cols>
  <sheetData>
    <row r="1" spans="2:23" ht="5.0999999999999996" customHeight="1" thickBot="1"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</row>
    <row r="2" spans="2:23" ht="5.0999999999999996" customHeight="1" thickBot="1">
      <c r="B2" s="427"/>
      <c r="C2" s="428"/>
      <c r="D2" s="428"/>
      <c r="E2" s="428"/>
      <c r="F2" s="432"/>
      <c r="G2" s="432"/>
      <c r="H2" s="432"/>
      <c r="I2" s="432"/>
      <c r="J2" s="22"/>
      <c r="K2" s="22"/>
      <c r="L2" s="428"/>
      <c r="M2" s="428"/>
      <c r="N2" s="428"/>
      <c r="O2" s="428"/>
      <c r="P2" s="6"/>
      <c r="Q2" s="20"/>
      <c r="R2" s="20"/>
      <c r="S2" s="20"/>
      <c r="T2" s="20"/>
      <c r="U2" s="20"/>
      <c r="V2" s="20"/>
      <c r="W2" s="21"/>
    </row>
    <row r="3" spans="2:23" ht="30" customHeight="1" thickBot="1">
      <c r="B3" s="429"/>
      <c r="C3" s="426"/>
      <c r="D3" s="426"/>
      <c r="E3" s="426"/>
      <c r="F3" s="344" t="s">
        <v>0</v>
      </c>
      <c r="G3" s="345"/>
      <c r="H3" s="345"/>
      <c r="I3" s="345"/>
      <c r="J3" s="345"/>
      <c r="K3" s="345"/>
      <c r="L3" s="345"/>
      <c r="M3" s="345"/>
      <c r="N3" s="345"/>
      <c r="O3" s="346"/>
      <c r="Q3" s="344" t="s">
        <v>1</v>
      </c>
      <c r="R3" s="345"/>
      <c r="S3" s="345"/>
      <c r="T3" s="345"/>
      <c r="U3" s="345"/>
      <c r="V3" s="345"/>
      <c r="W3" s="346"/>
    </row>
    <row r="4" spans="2:23" ht="5.0999999999999996" customHeight="1" thickBot="1">
      <c r="B4" s="429"/>
      <c r="C4" s="426"/>
      <c r="D4" s="426"/>
      <c r="E4" s="426"/>
      <c r="F4" s="432"/>
      <c r="G4" s="432"/>
      <c r="H4" s="432"/>
      <c r="I4" s="432"/>
      <c r="J4" s="19"/>
      <c r="K4" s="19"/>
      <c r="L4" s="426"/>
      <c r="M4" s="426"/>
      <c r="N4" s="426"/>
      <c r="O4" s="426"/>
      <c r="Q4" s="413"/>
      <c r="R4" s="414"/>
      <c r="S4" s="414"/>
      <c r="T4" s="414"/>
      <c r="U4" s="414"/>
      <c r="V4" s="414"/>
      <c r="W4" s="415"/>
    </row>
    <row r="5" spans="2:23" ht="20.100000000000001" customHeight="1" thickBot="1">
      <c r="B5" s="429"/>
      <c r="C5" s="426"/>
      <c r="D5" s="426"/>
      <c r="E5" s="426"/>
      <c r="F5" s="114" t="s">
        <v>2</v>
      </c>
      <c r="G5" s="347" t="s">
        <v>3</v>
      </c>
      <c r="H5" s="348"/>
      <c r="I5" s="349"/>
      <c r="J5" s="19"/>
      <c r="K5" s="19"/>
      <c r="L5" s="114" t="s">
        <v>4</v>
      </c>
      <c r="M5" s="347" t="s">
        <v>5</v>
      </c>
      <c r="N5" s="348"/>
      <c r="O5" s="349"/>
      <c r="Q5" s="416" t="s">
        <v>6</v>
      </c>
      <c r="R5" s="417"/>
      <c r="S5" s="420" t="s">
        <v>7</v>
      </c>
      <c r="T5" s="421"/>
      <c r="U5" s="416" t="s">
        <v>6</v>
      </c>
      <c r="V5" s="417"/>
      <c r="W5" s="51" t="s">
        <v>8</v>
      </c>
    </row>
    <row r="6" spans="2:23" ht="20.100000000000001" customHeight="1">
      <c r="B6" s="429"/>
      <c r="C6" s="426"/>
      <c r="D6" s="426"/>
      <c r="E6" s="426"/>
      <c r="F6" s="115"/>
      <c r="G6" s="116"/>
      <c r="H6" s="116"/>
      <c r="I6" s="117"/>
      <c r="J6" s="19"/>
      <c r="K6" s="19"/>
      <c r="L6" s="116"/>
      <c r="M6" s="116"/>
      <c r="N6" s="116"/>
      <c r="O6" s="117"/>
      <c r="P6" s="4"/>
      <c r="Q6" s="418" t="s">
        <v>9</v>
      </c>
      <c r="R6" s="419"/>
      <c r="S6" s="422" t="s">
        <v>10</v>
      </c>
      <c r="T6" s="423"/>
      <c r="U6" s="418" t="s">
        <v>9</v>
      </c>
      <c r="V6" s="419"/>
      <c r="W6" s="51" t="s">
        <v>11</v>
      </c>
    </row>
    <row r="7" spans="2:23" ht="20.100000000000001" customHeight="1">
      <c r="B7" s="429"/>
      <c r="C7" s="426"/>
      <c r="D7" s="426"/>
      <c r="E7" s="426"/>
      <c r="F7" s="114" t="s">
        <v>12</v>
      </c>
      <c r="G7" s="350">
        <v>46206</v>
      </c>
      <c r="H7" s="348"/>
      <c r="I7" s="349"/>
      <c r="J7" s="19"/>
      <c r="K7" s="19"/>
      <c r="L7" s="114" t="s">
        <v>13</v>
      </c>
      <c r="M7" s="347" t="s">
        <v>14</v>
      </c>
      <c r="N7" s="348"/>
      <c r="O7" s="349"/>
      <c r="P7" s="4"/>
      <c r="Q7" s="418" t="s">
        <v>9</v>
      </c>
      <c r="R7" s="419"/>
      <c r="S7" s="424" t="s">
        <v>15</v>
      </c>
      <c r="T7" s="425"/>
      <c r="U7" s="418" t="s">
        <v>9</v>
      </c>
      <c r="V7" s="419"/>
      <c r="W7" s="51" t="s">
        <v>16</v>
      </c>
    </row>
    <row r="8" spans="2:23" ht="5.0999999999999996" customHeight="1" thickBot="1">
      <c r="B8" s="430"/>
      <c r="C8" s="431"/>
      <c r="D8" s="431"/>
      <c r="E8" s="431"/>
      <c r="F8" s="431"/>
      <c r="G8" s="431"/>
      <c r="H8" s="431"/>
      <c r="I8" s="431"/>
      <c r="J8" s="431"/>
      <c r="K8" s="431"/>
      <c r="L8" s="431"/>
      <c r="M8" s="431"/>
      <c r="N8" s="431"/>
      <c r="O8" s="431"/>
      <c r="P8" s="431"/>
      <c r="Q8" s="431"/>
      <c r="R8" s="431"/>
      <c r="S8" s="431"/>
      <c r="T8" s="431"/>
      <c r="U8" s="431"/>
      <c r="V8" s="431"/>
      <c r="W8" s="438"/>
    </row>
    <row r="9" spans="2:23" s="5" customFormat="1" ht="24.95" customHeight="1" thickBot="1">
      <c r="B9" s="344" t="s">
        <v>17</v>
      </c>
      <c r="C9" s="345"/>
      <c r="D9" s="345"/>
      <c r="E9" s="345"/>
      <c r="F9" s="345"/>
      <c r="G9" s="345"/>
      <c r="H9" s="345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6"/>
    </row>
    <row r="10" spans="2:23" ht="5.0999999999999996" customHeight="1" thickBot="1">
      <c r="B10" s="430"/>
      <c r="C10" s="431"/>
      <c r="D10" s="431"/>
      <c r="E10" s="431"/>
      <c r="F10" s="431"/>
      <c r="G10" s="431"/>
      <c r="H10" s="431"/>
      <c r="I10" s="431"/>
      <c r="J10" s="431"/>
      <c r="K10" s="431"/>
      <c r="L10" s="431"/>
      <c r="M10" s="431"/>
      <c r="N10" s="431"/>
      <c r="O10" s="431"/>
      <c r="P10" s="431"/>
      <c r="Q10" s="431"/>
      <c r="R10" s="431"/>
      <c r="S10" s="431"/>
      <c r="T10" s="431"/>
      <c r="U10" s="431"/>
      <c r="V10" s="431"/>
      <c r="W10" s="431"/>
    </row>
    <row r="11" spans="2:23" ht="30" customHeight="1" thickBot="1">
      <c r="B11" s="156" t="s">
        <v>18</v>
      </c>
      <c r="C11" s="156" t="s">
        <v>19</v>
      </c>
      <c r="D11" s="156" t="s">
        <v>20</v>
      </c>
      <c r="E11" s="156" t="s">
        <v>21</v>
      </c>
      <c r="F11" s="156" t="s">
        <v>22</v>
      </c>
      <c r="G11" s="433" t="s">
        <v>23</v>
      </c>
      <c r="H11" s="434"/>
      <c r="I11" s="434"/>
      <c r="J11" s="435"/>
      <c r="K11" s="156" t="s">
        <v>24</v>
      </c>
      <c r="L11" s="156" t="s">
        <v>25</v>
      </c>
      <c r="M11" s="156" t="s">
        <v>26</v>
      </c>
      <c r="N11" s="152" t="s">
        <v>27</v>
      </c>
      <c r="O11" s="436" t="s">
        <v>28</v>
      </c>
      <c r="P11" s="437"/>
      <c r="Q11" s="153" t="s">
        <v>29</v>
      </c>
      <c r="R11" s="156" t="s">
        <v>30</v>
      </c>
      <c r="S11" s="156" t="s">
        <v>31</v>
      </c>
      <c r="T11" s="156" t="s">
        <v>32</v>
      </c>
      <c r="U11" s="156" t="s">
        <v>33</v>
      </c>
      <c r="V11" s="156" t="s">
        <v>34</v>
      </c>
      <c r="W11" s="156" t="s">
        <v>35</v>
      </c>
    </row>
    <row r="12" spans="2:23" ht="24.95" customHeight="1" thickBot="1">
      <c r="B12" s="52">
        <f>IF(G12="","",1)</f>
        <v>1</v>
      </c>
      <c r="C12" s="361" t="s">
        <v>36</v>
      </c>
      <c r="D12" s="53">
        <v>0</v>
      </c>
      <c r="E12" s="54">
        <v>495094</v>
      </c>
      <c r="F12" s="66" t="s">
        <v>37</v>
      </c>
      <c r="G12" s="376" t="s">
        <v>38</v>
      </c>
      <c r="H12" s="377"/>
      <c r="I12" s="377"/>
      <c r="J12" s="378"/>
      <c r="K12" s="159"/>
      <c r="L12" s="55" t="s">
        <v>39</v>
      </c>
      <c r="M12" s="55"/>
      <c r="N12" s="56" t="s">
        <v>37</v>
      </c>
      <c r="O12" s="353"/>
      <c r="P12" s="354"/>
      <c r="Q12" s="53"/>
      <c r="R12" s="163"/>
      <c r="S12" s="58"/>
      <c r="T12" s="141"/>
      <c r="U12" s="58"/>
      <c r="V12" s="141"/>
      <c r="W12" s="149"/>
    </row>
    <row r="13" spans="2:23" ht="24.95" customHeight="1" thickBot="1">
      <c r="B13" s="57">
        <f>IF(G13="","",1+B12)</f>
        <v>2</v>
      </c>
      <c r="C13" s="362"/>
      <c r="D13" s="53">
        <v>0</v>
      </c>
      <c r="E13" s="59">
        <v>495095</v>
      </c>
      <c r="F13" s="66" t="s">
        <v>37</v>
      </c>
      <c r="G13" s="379" t="s">
        <v>40</v>
      </c>
      <c r="H13" s="380"/>
      <c r="I13" s="380"/>
      <c r="J13" s="381"/>
      <c r="K13" s="66"/>
      <c r="L13" s="61"/>
      <c r="M13" s="61"/>
      <c r="N13" s="62" t="e">
        <f>'Controle de Eslingas'!#REF!</f>
        <v>#REF!</v>
      </c>
      <c r="O13" s="351"/>
      <c r="P13" s="352"/>
      <c r="Q13" s="53"/>
      <c r="R13" s="163"/>
      <c r="S13" s="58"/>
      <c r="T13" s="141"/>
      <c r="U13" s="58"/>
      <c r="V13" s="141"/>
      <c r="W13" s="150"/>
    </row>
    <row r="14" spans="2:23" ht="24.95" customHeight="1" thickBot="1">
      <c r="B14" s="57">
        <f t="shared" ref="B14:B77" si="0">IF(G14="","",1+B13)</f>
        <v>3</v>
      </c>
      <c r="C14" s="362"/>
      <c r="D14" s="53">
        <v>0</v>
      </c>
      <c r="E14" s="64">
        <v>495096</v>
      </c>
      <c r="F14" s="66" t="s">
        <v>37</v>
      </c>
      <c r="G14" s="364" t="s">
        <v>41</v>
      </c>
      <c r="H14" s="365"/>
      <c r="I14" s="365"/>
      <c r="J14" s="366"/>
      <c r="K14" s="66"/>
      <c r="L14" s="61"/>
      <c r="M14" s="61"/>
      <c r="N14" s="62" t="s">
        <v>37</v>
      </c>
      <c r="O14" s="351"/>
      <c r="P14" s="352"/>
      <c r="Q14" s="53"/>
      <c r="R14" s="163"/>
      <c r="S14" s="58"/>
      <c r="T14" s="141"/>
      <c r="U14" s="58"/>
      <c r="V14" s="141"/>
      <c r="W14" s="150"/>
    </row>
    <row r="15" spans="2:23" ht="16.5" thickBot="1">
      <c r="B15" s="57">
        <f t="shared" si="0"/>
        <v>4</v>
      </c>
      <c r="C15" s="362"/>
      <c r="D15" s="53">
        <v>113</v>
      </c>
      <c r="E15" s="65">
        <v>495075</v>
      </c>
      <c r="F15" s="66" t="s">
        <v>37</v>
      </c>
      <c r="G15" s="401" t="s">
        <v>42</v>
      </c>
      <c r="H15" s="402"/>
      <c r="I15" s="402"/>
      <c r="J15" s="403"/>
      <c r="K15" s="159" t="s">
        <v>43</v>
      </c>
      <c r="L15" s="61" t="s">
        <v>39</v>
      </c>
      <c r="M15" s="61"/>
      <c r="N15" s="62" t="s">
        <v>37</v>
      </c>
      <c r="O15" s="351"/>
      <c r="P15" s="352"/>
      <c r="Q15" s="63"/>
      <c r="R15" s="67"/>
      <c r="S15" s="58"/>
      <c r="T15" s="141"/>
      <c r="U15" s="58"/>
      <c r="V15" s="141"/>
      <c r="W15" s="150"/>
    </row>
    <row r="16" spans="2:23" ht="24.95" customHeight="1" thickBot="1">
      <c r="B16" s="57">
        <f t="shared" si="0"/>
        <v>5</v>
      </c>
      <c r="C16" s="362"/>
      <c r="D16" s="53">
        <v>1</v>
      </c>
      <c r="E16" s="64">
        <v>495078</v>
      </c>
      <c r="F16" s="66" t="s">
        <v>44</v>
      </c>
      <c r="G16" s="364" t="s">
        <v>45</v>
      </c>
      <c r="H16" s="365"/>
      <c r="I16" s="365"/>
      <c r="J16" s="366"/>
      <c r="K16" s="159" t="s">
        <v>46</v>
      </c>
      <c r="L16" s="61" t="s">
        <v>39</v>
      </c>
      <c r="M16" s="61"/>
      <c r="N16" s="62" t="s">
        <v>37</v>
      </c>
      <c r="O16" s="351"/>
      <c r="P16" s="352"/>
      <c r="Q16" s="63"/>
      <c r="R16" s="67"/>
      <c r="S16" s="58"/>
      <c r="T16" s="141"/>
      <c r="U16" s="58"/>
      <c r="V16" s="141"/>
      <c r="W16" s="150"/>
    </row>
    <row r="17" spans="2:23" ht="24.95" customHeight="1" thickBot="1">
      <c r="B17" s="57">
        <f t="shared" si="0"/>
        <v>6</v>
      </c>
      <c r="C17" s="362"/>
      <c r="D17" s="53">
        <v>1</v>
      </c>
      <c r="E17" s="64">
        <v>495078</v>
      </c>
      <c r="F17" s="66" t="s">
        <v>47</v>
      </c>
      <c r="G17" s="364" t="s">
        <v>45</v>
      </c>
      <c r="H17" s="365"/>
      <c r="I17" s="365"/>
      <c r="J17" s="366"/>
      <c r="K17" s="66" t="s">
        <v>46</v>
      </c>
      <c r="L17" s="61" t="s">
        <v>39</v>
      </c>
      <c r="M17" s="61"/>
      <c r="N17" s="62" t="s">
        <v>37</v>
      </c>
      <c r="O17" s="351"/>
      <c r="P17" s="352"/>
      <c r="Q17" s="63"/>
      <c r="R17" s="67"/>
      <c r="S17" s="58"/>
      <c r="T17" s="141"/>
      <c r="U17" s="58"/>
      <c r="V17" s="141"/>
      <c r="W17" s="150"/>
    </row>
    <row r="18" spans="2:23" ht="24.95" customHeight="1" thickBot="1">
      <c r="B18" s="57">
        <f t="shared" si="0"/>
        <v>7</v>
      </c>
      <c r="C18" s="362"/>
      <c r="D18" s="53">
        <v>0</v>
      </c>
      <c r="E18" s="64">
        <v>495077</v>
      </c>
      <c r="F18" s="66" t="s">
        <v>37</v>
      </c>
      <c r="G18" s="364" t="s">
        <v>48</v>
      </c>
      <c r="H18" s="365"/>
      <c r="I18" s="365"/>
      <c r="J18" s="366"/>
      <c r="K18" s="66"/>
      <c r="L18" s="61"/>
      <c r="M18" s="61"/>
      <c r="N18" s="62" t="s">
        <v>37</v>
      </c>
      <c r="O18" s="351"/>
      <c r="P18" s="352"/>
      <c r="Q18" s="63"/>
      <c r="R18" s="67"/>
      <c r="S18" s="58"/>
      <c r="T18" s="141"/>
      <c r="U18" s="58"/>
      <c r="V18" s="141"/>
      <c r="W18" s="150"/>
    </row>
    <row r="19" spans="2:23" ht="24.95" customHeight="1" thickBot="1">
      <c r="B19" s="57">
        <f t="shared" si="0"/>
        <v>8</v>
      </c>
      <c r="C19" s="362"/>
      <c r="D19" s="53">
        <v>0</v>
      </c>
      <c r="E19" s="64">
        <v>495077</v>
      </c>
      <c r="F19" s="66" t="s">
        <v>37</v>
      </c>
      <c r="G19" s="364" t="s">
        <v>48</v>
      </c>
      <c r="H19" s="365"/>
      <c r="I19" s="365"/>
      <c r="J19" s="366"/>
      <c r="K19" s="66"/>
      <c r="L19" s="61"/>
      <c r="M19" s="61"/>
      <c r="N19" s="62" t="s">
        <v>37</v>
      </c>
      <c r="O19" s="351"/>
      <c r="P19" s="352"/>
      <c r="Q19" s="63"/>
      <c r="R19" s="67"/>
      <c r="S19" s="58"/>
      <c r="T19" s="141"/>
      <c r="U19" s="58"/>
      <c r="V19" s="141"/>
      <c r="W19" s="150"/>
    </row>
    <row r="20" spans="2:23" ht="24.95" customHeight="1" thickBot="1">
      <c r="B20" s="57">
        <f t="shared" si="0"/>
        <v>9</v>
      </c>
      <c r="C20" s="362"/>
      <c r="D20" s="53">
        <v>1</v>
      </c>
      <c r="E20" s="64">
        <v>495076</v>
      </c>
      <c r="F20" s="66" t="s">
        <v>49</v>
      </c>
      <c r="G20" s="364" t="s">
        <v>50</v>
      </c>
      <c r="H20" s="365"/>
      <c r="I20" s="365"/>
      <c r="J20" s="366"/>
      <c r="K20" s="159" t="s">
        <v>46</v>
      </c>
      <c r="L20" s="61" t="s">
        <v>39</v>
      </c>
      <c r="M20" s="61"/>
      <c r="N20" s="62" t="s">
        <v>37</v>
      </c>
      <c r="O20" s="351"/>
      <c r="P20" s="352"/>
      <c r="Q20" s="63"/>
      <c r="R20" s="67"/>
      <c r="S20" s="58"/>
      <c r="T20" s="141"/>
      <c r="U20" s="58"/>
      <c r="V20" s="141"/>
      <c r="W20" s="150" t="s">
        <v>51</v>
      </c>
    </row>
    <row r="21" spans="2:23" ht="24.95" customHeight="1" thickBot="1">
      <c r="B21" s="57">
        <f t="shared" si="0"/>
        <v>10</v>
      </c>
      <c r="C21" s="362"/>
      <c r="D21" s="53">
        <v>0</v>
      </c>
      <c r="E21" s="64">
        <v>495076</v>
      </c>
      <c r="F21" s="66" t="s">
        <v>37</v>
      </c>
      <c r="G21" s="364" t="s">
        <v>50</v>
      </c>
      <c r="H21" s="365"/>
      <c r="I21" s="365"/>
      <c r="J21" s="366"/>
      <c r="K21" s="66"/>
      <c r="L21" s="61"/>
      <c r="M21" s="61"/>
      <c r="N21" s="62" t="s">
        <v>37</v>
      </c>
      <c r="O21" s="351"/>
      <c r="P21" s="352"/>
      <c r="Q21" s="63"/>
      <c r="R21" s="67"/>
      <c r="S21" s="58"/>
      <c r="T21" s="141"/>
      <c r="U21" s="58"/>
      <c r="V21" s="141"/>
      <c r="W21" s="150"/>
    </row>
    <row r="22" spans="2:23" ht="24.95" customHeight="1" thickBot="1">
      <c r="B22" s="57">
        <f t="shared" si="0"/>
        <v>11</v>
      </c>
      <c r="C22" s="362"/>
      <c r="D22" s="53">
        <v>1</v>
      </c>
      <c r="E22" s="64">
        <v>495081</v>
      </c>
      <c r="F22" s="66" t="s">
        <v>52</v>
      </c>
      <c r="G22" s="364" t="s">
        <v>53</v>
      </c>
      <c r="H22" s="365"/>
      <c r="I22" s="365"/>
      <c r="J22" s="366"/>
      <c r="K22" s="66" t="s">
        <v>37</v>
      </c>
      <c r="L22" s="61"/>
      <c r="M22" s="61"/>
      <c r="N22" s="62" t="s">
        <v>37</v>
      </c>
      <c r="O22" s="351"/>
      <c r="P22" s="352"/>
      <c r="Q22" s="63"/>
      <c r="R22" s="68"/>
      <c r="S22" s="69"/>
      <c r="T22" s="142"/>
      <c r="U22" s="58"/>
      <c r="V22" s="141"/>
      <c r="W22" s="150"/>
    </row>
    <row r="23" spans="2:23" ht="24.95" customHeight="1" thickBot="1">
      <c r="B23" s="57">
        <f t="shared" si="0"/>
        <v>12</v>
      </c>
      <c r="C23" s="362"/>
      <c r="D23" s="53">
        <v>1</v>
      </c>
      <c r="E23" s="64">
        <v>495082</v>
      </c>
      <c r="F23" s="66" t="s">
        <v>54</v>
      </c>
      <c r="G23" s="364" t="s">
        <v>55</v>
      </c>
      <c r="H23" s="365"/>
      <c r="I23" s="365"/>
      <c r="J23" s="366"/>
      <c r="K23" s="159" t="s">
        <v>56</v>
      </c>
      <c r="L23" s="61" t="s">
        <v>39</v>
      </c>
      <c r="M23" s="61"/>
      <c r="N23" s="62" t="s">
        <v>37</v>
      </c>
      <c r="O23" s="351"/>
      <c r="P23" s="352"/>
      <c r="Q23" s="63"/>
      <c r="R23" s="68"/>
      <c r="S23" s="69"/>
      <c r="T23" s="142"/>
      <c r="U23" s="58"/>
      <c r="V23" s="141"/>
      <c r="W23" s="71"/>
    </row>
    <row r="24" spans="2:23" ht="24.95" customHeight="1" thickBot="1">
      <c r="B24" s="57">
        <f t="shared" si="0"/>
        <v>13</v>
      </c>
      <c r="C24" s="362"/>
      <c r="D24" s="53">
        <v>0</v>
      </c>
      <c r="E24" s="64">
        <v>495083</v>
      </c>
      <c r="F24" s="66" t="s">
        <v>37</v>
      </c>
      <c r="G24" s="364" t="s">
        <v>57</v>
      </c>
      <c r="H24" s="365"/>
      <c r="I24" s="365"/>
      <c r="J24" s="366"/>
      <c r="K24" s="159"/>
      <c r="L24" s="61" t="s">
        <v>39</v>
      </c>
      <c r="M24" s="61"/>
      <c r="N24" s="62" t="s">
        <v>37</v>
      </c>
      <c r="O24" s="351"/>
      <c r="P24" s="352"/>
      <c r="Q24" s="63"/>
      <c r="R24" s="67"/>
      <c r="S24" s="58"/>
      <c r="T24" s="141"/>
      <c r="U24" s="58"/>
      <c r="V24" s="141"/>
      <c r="W24" s="71"/>
    </row>
    <row r="25" spans="2:23" ht="24.95" customHeight="1" thickBot="1">
      <c r="B25" s="57">
        <f t="shared" si="0"/>
        <v>14</v>
      </c>
      <c r="C25" s="362"/>
      <c r="D25" s="53">
        <v>0</v>
      </c>
      <c r="E25" s="59">
        <v>495106</v>
      </c>
      <c r="F25" s="66" t="s">
        <v>37</v>
      </c>
      <c r="G25" s="364" t="s">
        <v>58</v>
      </c>
      <c r="H25" s="365"/>
      <c r="I25" s="365"/>
      <c r="J25" s="366"/>
      <c r="K25" s="66"/>
      <c r="L25" s="61"/>
      <c r="M25" s="61"/>
      <c r="N25" s="62" t="s">
        <v>37</v>
      </c>
      <c r="O25" s="351"/>
      <c r="P25" s="352"/>
      <c r="Q25" s="58"/>
      <c r="R25" s="61"/>
      <c r="S25" s="58"/>
      <c r="T25" s="141"/>
      <c r="U25" s="58"/>
      <c r="V25" s="141"/>
      <c r="W25" s="150"/>
    </row>
    <row r="26" spans="2:23" ht="24.95" customHeight="1" thickBot="1">
      <c r="B26" s="72">
        <f t="shared" si="0"/>
        <v>15</v>
      </c>
      <c r="C26" s="363"/>
      <c r="D26" s="53">
        <v>0</v>
      </c>
      <c r="E26" s="74">
        <v>495084</v>
      </c>
      <c r="F26" s="66" t="s">
        <v>37</v>
      </c>
      <c r="G26" s="392" t="s">
        <v>59</v>
      </c>
      <c r="H26" s="393"/>
      <c r="I26" s="393"/>
      <c r="J26" s="394"/>
      <c r="K26" s="66"/>
      <c r="L26" s="75"/>
      <c r="M26" s="75"/>
      <c r="N26" s="76" t="e">
        <f>'Controle de Eslingas'!#REF!</f>
        <v>#REF!</v>
      </c>
      <c r="O26" s="355"/>
      <c r="P26" s="356"/>
      <c r="Q26" s="73"/>
      <c r="R26" s="75"/>
      <c r="S26" s="73"/>
      <c r="T26" s="143"/>
      <c r="U26" s="58"/>
      <c r="V26" s="141"/>
      <c r="W26" s="151"/>
    </row>
    <row r="27" spans="2:23" ht="24.95" customHeight="1" thickBot="1">
      <c r="B27" s="77">
        <f>IF(G27="","",1+B26)</f>
        <v>16</v>
      </c>
      <c r="C27" s="362" t="s">
        <v>60</v>
      </c>
      <c r="D27" s="53">
        <v>0</v>
      </c>
      <c r="E27" s="79">
        <v>495097</v>
      </c>
      <c r="F27" s="66" t="s">
        <v>37</v>
      </c>
      <c r="G27" s="401" t="s">
        <v>61</v>
      </c>
      <c r="H27" s="402"/>
      <c r="I27" s="402"/>
      <c r="J27" s="403"/>
      <c r="K27" s="66"/>
      <c r="L27" s="80"/>
      <c r="M27" s="80"/>
      <c r="N27" s="81" t="s">
        <v>37</v>
      </c>
      <c r="O27" s="353"/>
      <c r="P27" s="354"/>
      <c r="Q27" s="78"/>
      <c r="R27" s="80"/>
      <c r="S27" s="78"/>
      <c r="T27" s="144"/>
      <c r="U27" s="58"/>
      <c r="V27" s="141"/>
      <c r="W27" s="82"/>
    </row>
    <row r="28" spans="2:23" ht="24.95" customHeight="1" thickBot="1">
      <c r="B28" s="77">
        <f t="shared" si="0"/>
        <v>17</v>
      </c>
      <c r="C28" s="362"/>
      <c r="D28" s="53">
        <v>0</v>
      </c>
      <c r="E28" s="59">
        <v>495098</v>
      </c>
      <c r="F28" s="66" t="s">
        <v>37</v>
      </c>
      <c r="G28" s="364" t="s">
        <v>62</v>
      </c>
      <c r="H28" s="365"/>
      <c r="I28" s="365"/>
      <c r="J28" s="366"/>
      <c r="K28" s="66"/>
      <c r="L28" s="80"/>
      <c r="M28" s="61"/>
      <c r="N28" s="62" t="s">
        <v>37</v>
      </c>
      <c r="O28" s="351"/>
      <c r="P28" s="352"/>
      <c r="Q28" s="58"/>
      <c r="R28" s="80"/>
      <c r="S28" s="78"/>
      <c r="T28" s="144"/>
      <c r="U28" s="58"/>
      <c r="V28" s="141"/>
      <c r="W28" s="82"/>
    </row>
    <row r="29" spans="2:23" ht="24.95" customHeight="1" thickBot="1">
      <c r="B29" s="57">
        <f t="shared" si="0"/>
        <v>18</v>
      </c>
      <c r="C29" s="362"/>
      <c r="D29" s="53">
        <v>0</v>
      </c>
      <c r="E29" s="59">
        <v>495099</v>
      </c>
      <c r="F29" s="66" t="s">
        <v>37</v>
      </c>
      <c r="G29" s="364" t="s">
        <v>63</v>
      </c>
      <c r="H29" s="365"/>
      <c r="I29" s="365"/>
      <c r="J29" s="366"/>
      <c r="K29" s="66"/>
      <c r="L29" s="61"/>
      <c r="M29" s="61"/>
      <c r="N29" s="62" t="s">
        <v>37</v>
      </c>
      <c r="O29" s="351"/>
      <c r="P29" s="352"/>
      <c r="Q29" s="58"/>
      <c r="R29" s="61"/>
      <c r="S29" s="58"/>
      <c r="T29" s="141"/>
      <c r="U29" s="58"/>
      <c r="V29" s="141"/>
      <c r="W29" s="150"/>
    </row>
    <row r="30" spans="2:23" ht="24.95" customHeight="1" thickBot="1">
      <c r="B30" s="57">
        <f t="shared" si="0"/>
        <v>19</v>
      </c>
      <c r="C30" s="362"/>
      <c r="D30" s="53">
        <v>0</v>
      </c>
      <c r="E30" s="59">
        <v>495100</v>
      </c>
      <c r="F30" s="66" t="s">
        <v>37</v>
      </c>
      <c r="G30" s="364" t="s">
        <v>64</v>
      </c>
      <c r="H30" s="365"/>
      <c r="I30" s="365"/>
      <c r="J30" s="366"/>
      <c r="K30" s="66"/>
      <c r="L30" s="70"/>
      <c r="M30" s="61"/>
      <c r="N30" s="62" t="s">
        <v>37</v>
      </c>
      <c r="O30" s="351"/>
      <c r="P30" s="352"/>
      <c r="Q30" s="58"/>
      <c r="R30" s="70"/>
      <c r="S30" s="69"/>
      <c r="T30" s="142"/>
      <c r="U30" s="58"/>
      <c r="V30" s="141"/>
      <c r="W30" s="71"/>
    </row>
    <row r="31" spans="2:23" ht="24.95" customHeight="1" thickBot="1">
      <c r="B31" s="57">
        <f t="shared" si="0"/>
        <v>20</v>
      </c>
      <c r="C31" s="362"/>
      <c r="D31" s="53">
        <v>1</v>
      </c>
      <c r="E31" s="59">
        <v>495101</v>
      </c>
      <c r="F31" s="66" t="s">
        <v>65</v>
      </c>
      <c r="G31" s="364" t="s">
        <v>66</v>
      </c>
      <c r="H31" s="365"/>
      <c r="I31" s="365"/>
      <c r="J31" s="366"/>
      <c r="K31" s="159" t="s">
        <v>67</v>
      </c>
      <c r="L31" s="70" t="s">
        <v>39</v>
      </c>
      <c r="M31" s="61"/>
      <c r="N31" s="62" t="s">
        <v>37</v>
      </c>
      <c r="O31" s="351"/>
      <c r="P31" s="352"/>
      <c r="Q31" s="58"/>
      <c r="R31" s="70"/>
      <c r="S31" s="69"/>
      <c r="T31" s="142"/>
      <c r="U31" s="58"/>
      <c r="V31" s="141"/>
      <c r="W31" s="71" t="s">
        <v>68</v>
      </c>
    </row>
    <row r="32" spans="2:23" ht="24.95" customHeight="1" thickBot="1">
      <c r="B32" s="57">
        <f t="shared" si="0"/>
        <v>21</v>
      </c>
      <c r="C32" s="362"/>
      <c r="D32" s="53">
        <v>1</v>
      </c>
      <c r="E32" s="59">
        <v>495102</v>
      </c>
      <c r="F32" s="66" t="s">
        <v>69</v>
      </c>
      <c r="G32" s="364" t="s">
        <v>70</v>
      </c>
      <c r="H32" s="365"/>
      <c r="I32" s="365"/>
      <c r="J32" s="366"/>
      <c r="K32" s="159" t="s">
        <v>67</v>
      </c>
      <c r="L32" s="70" t="s">
        <v>39</v>
      </c>
      <c r="M32" s="61"/>
      <c r="N32" s="62" t="s">
        <v>37</v>
      </c>
      <c r="O32" s="351"/>
      <c r="P32" s="352"/>
      <c r="Q32" s="53"/>
      <c r="R32" s="163"/>
      <c r="S32" s="69"/>
      <c r="T32" s="142"/>
      <c r="U32" s="58"/>
      <c r="V32" s="141"/>
      <c r="W32" s="71" t="s">
        <v>68</v>
      </c>
    </row>
    <row r="33" spans="2:23" ht="24.95" customHeight="1" thickBot="1">
      <c r="B33" s="57">
        <f t="shared" si="0"/>
        <v>22</v>
      </c>
      <c r="C33" s="362"/>
      <c r="D33" s="53">
        <v>0</v>
      </c>
      <c r="E33" s="59">
        <v>495103</v>
      </c>
      <c r="F33" s="66"/>
      <c r="G33" s="364" t="s">
        <v>71</v>
      </c>
      <c r="H33" s="365"/>
      <c r="I33" s="365"/>
      <c r="J33" s="366"/>
      <c r="K33" s="159"/>
      <c r="L33" s="61"/>
      <c r="M33" s="61"/>
      <c r="N33" s="84" t="s">
        <v>37</v>
      </c>
      <c r="O33" s="351"/>
      <c r="P33" s="352"/>
      <c r="Q33" s="83"/>
      <c r="R33" s="61"/>
      <c r="S33" s="58"/>
      <c r="T33" s="141"/>
      <c r="U33" s="58"/>
      <c r="V33" s="141"/>
      <c r="W33" s="71"/>
    </row>
    <row r="34" spans="2:23" ht="24.95" customHeight="1" thickBot="1">
      <c r="B34" s="77">
        <f t="shared" si="0"/>
        <v>23</v>
      </c>
      <c r="C34" s="362"/>
      <c r="D34" s="53">
        <v>1</v>
      </c>
      <c r="E34" s="59">
        <v>495104</v>
      </c>
      <c r="F34" s="66" t="s">
        <v>72</v>
      </c>
      <c r="G34" s="364" t="s">
        <v>73</v>
      </c>
      <c r="H34" s="365"/>
      <c r="I34" s="365"/>
      <c r="J34" s="366"/>
      <c r="K34" s="159" t="s">
        <v>67</v>
      </c>
      <c r="L34" s="86" t="s">
        <v>39</v>
      </c>
      <c r="M34" s="80"/>
      <c r="N34" s="81" t="s">
        <v>37</v>
      </c>
      <c r="O34" s="351"/>
      <c r="P34" s="352"/>
      <c r="Q34" s="78"/>
      <c r="R34" s="86"/>
      <c r="S34" s="85"/>
      <c r="T34" s="145"/>
      <c r="U34" s="58"/>
      <c r="V34" s="141"/>
      <c r="W34" s="71" t="s">
        <v>68</v>
      </c>
    </row>
    <row r="35" spans="2:23" ht="24.95" customHeight="1" thickBot="1">
      <c r="B35" s="88">
        <f t="shared" si="0"/>
        <v>24</v>
      </c>
      <c r="C35" s="362"/>
      <c r="D35" s="53">
        <v>0</v>
      </c>
      <c r="E35" s="59">
        <v>495105</v>
      </c>
      <c r="F35" s="66" t="s">
        <v>37</v>
      </c>
      <c r="G35" s="404" t="s">
        <v>74</v>
      </c>
      <c r="H35" s="405"/>
      <c r="I35" s="405"/>
      <c r="J35" s="406"/>
      <c r="K35" s="66"/>
      <c r="L35" s="70"/>
      <c r="M35" s="70"/>
      <c r="N35" s="90" t="e">
        <f>'Controle de Eslingas'!#REF!</f>
        <v>#REF!</v>
      </c>
      <c r="O35" s="355"/>
      <c r="P35" s="356"/>
      <c r="Q35" s="69"/>
      <c r="R35" s="70"/>
      <c r="S35" s="69"/>
      <c r="T35" s="142"/>
      <c r="U35" s="58"/>
      <c r="V35" s="141"/>
      <c r="W35" s="71"/>
    </row>
    <row r="36" spans="2:23" ht="24.95" customHeight="1" thickBot="1">
      <c r="B36" s="52">
        <f t="shared" si="0"/>
        <v>25</v>
      </c>
      <c r="C36" s="361" t="s">
        <v>75</v>
      </c>
      <c r="D36" s="53">
        <v>1</v>
      </c>
      <c r="E36" s="92">
        <v>495085</v>
      </c>
      <c r="F36" s="66" t="s">
        <v>76</v>
      </c>
      <c r="G36" s="385" t="s">
        <v>77</v>
      </c>
      <c r="H36" s="386"/>
      <c r="I36" s="386"/>
      <c r="J36" s="387"/>
      <c r="K36" s="222" t="s">
        <v>78</v>
      </c>
      <c r="L36" s="93"/>
      <c r="M36" s="55"/>
      <c r="N36" s="56" t="s">
        <v>37</v>
      </c>
      <c r="O36" s="353"/>
      <c r="P36" s="354"/>
      <c r="Q36" s="120"/>
      <c r="R36" s="121"/>
      <c r="S36" s="53"/>
      <c r="T36" s="140"/>
      <c r="U36" s="58"/>
      <c r="V36" s="141"/>
      <c r="W36" s="149"/>
    </row>
    <row r="37" spans="2:23" ht="24.95" customHeight="1" thickBot="1">
      <c r="B37" s="57">
        <f t="shared" si="0"/>
        <v>26</v>
      </c>
      <c r="C37" s="362"/>
      <c r="D37" s="53">
        <v>1</v>
      </c>
      <c r="E37" s="95">
        <v>495086</v>
      </c>
      <c r="F37" s="66" t="s">
        <v>79</v>
      </c>
      <c r="G37" s="367" t="s">
        <v>80</v>
      </c>
      <c r="H37" s="368"/>
      <c r="I37" s="368"/>
      <c r="J37" s="369"/>
      <c r="K37" s="159" t="s">
        <v>43</v>
      </c>
      <c r="L37" s="93" t="s">
        <v>39</v>
      </c>
      <c r="M37" s="61"/>
      <c r="N37" s="62" t="s">
        <v>37</v>
      </c>
      <c r="O37" s="351"/>
      <c r="P37" s="352"/>
      <c r="Q37" s="119"/>
      <c r="R37" s="105"/>
      <c r="S37" s="85"/>
      <c r="T37" s="145"/>
      <c r="U37" s="58"/>
      <c r="V37" s="141"/>
      <c r="W37" s="149" t="s">
        <v>81</v>
      </c>
    </row>
    <row r="38" spans="2:23" ht="24.95" customHeight="1" thickBot="1">
      <c r="B38" s="57">
        <f t="shared" si="0"/>
        <v>27</v>
      </c>
      <c r="C38" s="362"/>
      <c r="D38" s="53">
        <v>1</v>
      </c>
      <c r="E38" s="95">
        <v>495087</v>
      </c>
      <c r="F38" s="171" t="s">
        <v>82</v>
      </c>
      <c r="G38" s="367" t="s">
        <v>83</v>
      </c>
      <c r="H38" s="368"/>
      <c r="I38" s="368"/>
      <c r="J38" s="369"/>
      <c r="K38" s="159" t="s">
        <v>84</v>
      </c>
      <c r="L38" s="93" t="s">
        <v>39</v>
      </c>
      <c r="M38" s="61"/>
      <c r="N38" s="62" t="s">
        <v>37</v>
      </c>
      <c r="O38" s="351"/>
      <c r="P38" s="352"/>
      <c r="Q38" s="63"/>
      <c r="R38" s="67"/>
      <c r="S38" s="58"/>
      <c r="T38" s="141"/>
      <c r="U38" s="58"/>
      <c r="V38" s="141"/>
      <c r="W38" s="224" t="s">
        <v>85</v>
      </c>
    </row>
    <row r="39" spans="2:23" ht="24.95" customHeight="1" thickBot="1">
      <c r="B39" s="57">
        <f t="shared" si="0"/>
        <v>28</v>
      </c>
      <c r="C39" s="362"/>
      <c r="D39" s="53">
        <v>0</v>
      </c>
      <c r="E39" s="95">
        <v>495088</v>
      </c>
      <c r="F39" s="66"/>
      <c r="G39" s="367" t="s">
        <v>86</v>
      </c>
      <c r="H39" s="368"/>
      <c r="I39" s="368"/>
      <c r="J39" s="369"/>
      <c r="K39" s="159"/>
      <c r="L39" s="93" t="s">
        <v>39</v>
      </c>
      <c r="M39" s="61"/>
      <c r="N39" s="62" t="s">
        <v>37</v>
      </c>
      <c r="O39" s="351"/>
      <c r="P39" s="352"/>
      <c r="Q39" s="58"/>
      <c r="R39" s="70"/>
      <c r="S39" s="69"/>
      <c r="T39" s="142"/>
      <c r="U39" s="58"/>
      <c r="V39" s="141"/>
      <c r="W39" s="224" t="s">
        <v>85</v>
      </c>
    </row>
    <row r="40" spans="2:23" ht="24.95" customHeight="1" thickBot="1">
      <c r="B40" s="57">
        <f t="shared" si="0"/>
        <v>29</v>
      </c>
      <c r="C40" s="362"/>
      <c r="D40" s="53">
        <v>1</v>
      </c>
      <c r="E40" s="95">
        <v>495089</v>
      </c>
      <c r="F40" s="66" t="s">
        <v>87</v>
      </c>
      <c r="G40" s="367" t="s">
        <v>88</v>
      </c>
      <c r="H40" s="368"/>
      <c r="I40" s="368"/>
      <c r="J40" s="369"/>
      <c r="K40" s="159" t="s">
        <v>78</v>
      </c>
      <c r="L40" s="93" t="s">
        <v>39</v>
      </c>
      <c r="M40" s="61"/>
      <c r="N40" s="62" t="s">
        <v>37</v>
      </c>
      <c r="O40" s="351"/>
      <c r="P40" s="352"/>
      <c r="Q40" s="63"/>
      <c r="R40" s="67"/>
      <c r="S40" s="58"/>
      <c r="T40" s="141"/>
      <c r="U40" s="58"/>
      <c r="V40" s="141"/>
      <c r="W40" s="149" t="s">
        <v>89</v>
      </c>
    </row>
    <row r="41" spans="2:23" ht="24.95" customHeight="1" thickBot="1">
      <c r="B41" s="57">
        <f t="shared" si="0"/>
        <v>30</v>
      </c>
      <c r="C41" s="362"/>
      <c r="D41" s="53">
        <v>0</v>
      </c>
      <c r="E41" s="95">
        <v>497277</v>
      </c>
      <c r="F41" s="66" t="s">
        <v>37</v>
      </c>
      <c r="G41" s="367" t="s">
        <v>90</v>
      </c>
      <c r="H41" s="368"/>
      <c r="I41" s="368"/>
      <c r="J41" s="369"/>
      <c r="K41" s="66"/>
      <c r="L41" s="70"/>
      <c r="M41" s="61"/>
      <c r="N41" s="62" t="s">
        <v>37</v>
      </c>
      <c r="O41" s="351"/>
      <c r="P41" s="352"/>
      <c r="Q41" s="58"/>
      <c r="R41" s="70"/>
      <c r="S41" s="69"/>
      <c r="T41" s="142"/>
      <c r="U41" s="58"/>
      <c r="V41" s="141"/>
      <c r="W41" s="71"/>
    </row>
    <row r="42" spans="2:23" ht="24.95" customHeight="1" thickBot="1">
      <c r="B42" s="57">
        <f t="shared" si="0"/>
        <v>31</v>
      </c>
      <c r="C42" s="362"/>
      <c r="D42" s="53">
        <v>0</v>
      </c>
      <c r="E42" s="96">
        <v>497278</v>
      </c>
      <c r="F42" s="66" t="s">
        <v>37</v>
      </c>
      <c r="G42" s="373" t="s">
        <v>91</v>
      </c>
      <c r="H42" s="374"/>
      <c r="I42" s="374"/>
      <c r="J42" s="375"/>
      <c r="K42" s="66"/>
      <c r="L42" s="70"/>
      <c r="M42" s="61"/>
      <c r="N42" s="62" t="s">
        <v>37</v>
      </c>
      <c r="O42" s="351"/>
      <c r="P42" s="352"/>
      <c r="Q42" s="58"/>
      <c r="R42" s="70"/>
      <c r="S42" s="69"/>
      <c r="T42" s="142"/>
      <c r="U42" s="58"/>
      <c r="V42" s="141"/>
      <c r="W42" s="71"/>
    </row>
    <row r="43" spans="2:23" ht="24.95" customHeight="1" thickBot="1">
      <c r="B43" s="57">
        <f t="shared" si="0"/>
        <v>32</v>
      </c>
      <c r="C43" s="362"/>
      <c r="D43" s="53">
        <v>1</v>
      </c>
      <c r="E43" s="95">
        <v>496064</v>
      </c>
      <c r="F43" s="66" t="s">
        <v>92</v>
      </c>
      <c r="G43" s="367" t="s">
        <v>93</v>
      </c>
      <c r="H43" s="368"/>
      <c r="I43" s="368"/>
      <c r="J43" s="369"/>
      <c r="K43" s="66" t="s">
        <v>43</v>
      </c>
      <c r="L43" s="106"/>
      <c r="M43" s="61"/>
      <c r="N43" s="62" t="s">
        <v>37</v>
      </c>
      <c r="O43" s="351"/>
      <c r="P43" s="352"/>
      <c r="Q43" s="58"/>
      <c r="R43" s="70"/>
      <c r="S43" s="69"/>
      <c r="T43" s="142"/>
      <c r="U43" s="58"/>
      <c r="V43" s="141"/>
      <c r="W43" s="149" t="s">
        <v>94</v>
      </c>
    </row>
    <row r="44" spans="2:23" ht="24.95" customHeight="1" thickBot="1">
      <c r="B44" s="57">
        <f t="shared" si="0"/>
        <v>33</v>
      </c>
      <c r="C44" s="362"/>
      <c r="D44" s="53">
        <v>0</v>
      </c>
      <c r="E44" s="95">
        <v>495093</v>
      </c>
      <c r="F44" s="66"/>
      <c r="G44" s="382" t="s">
        <v>95</v>
      </c>
      <c r="H44" s="383"/>
      <c r="I44" s="383"/>
      <c r="J44" s="384"/>
      <c r="K44" s="159"/>
      <c r="L44" s="61"/>
      <c r="M44" s="61"/>
      <c r="N44" s="62" t="str">
        <f>'Controle de Eslingas'!I11</f>
        <v>E53212</v>
      </c>
      <c r="O44" s="351"/>
      <c r="P44" s="352"/>
      <c r="Q44" s="58"/>
      <c r="R44" s="61"/>
      <c r="S44" s="58"/>
      <c r="T44" s="141"/>
      <c r="U44" s="58"/>
      <c r="V44" s="141"/>
      <c r="W44" s="150"/>
    </row>
    <row r="45" spans="2:23" ht="24.95" customHeight="1" thickBot="1">
      <c r="B45" s="57">
        <f t="shared" si="0"/>
        <v>34</v>
      </c>
      <c r="C45" s="362"/>
      <c r="D45" s="53">
        <v>1</v>
      </c>
      <c r="E45" s="96">
        <v>495072</v>
      </c>
      <c r="F45" s="66" t="s">
        <v>96</v>
      </c>
      <c r="G45" s="373" t="s">
        <v>97</v>
      </c>
      <c r="H45" s="374"/>
      <c r="I45" s="374"/>
      <c r="J45" s="375"/>
      <c r="K45" s="159" t="s">
        <v>56</v>
      </c>
      <c r="L45" s="93" t="s">
        <v>98</v>
      </c>
      <c r="M45" s="80"/>
      <c r="N45" s="81" t="s">
        <v>37</v>
      </c>
      <c r="O45" s="351"/>
      <c r="P45" s="352"/>
      <c r="Q45" s="78"/>
      <c r="R45" s="86"/>
      <c r="S45" s="85"/>
      <c r="T45" s="145"/>
      <c r="U45" s="58"/>
      <c r="V45" s="141"/>
      <c r="W45" s="149" t="s">
        <v>89</v>
      </c>
    </row>
    <row r="46" spans="2:23" ht="24.95" customHeight="1" thickBot="1">
      <c r="B46" s="57">
        <f t="shared" si="0"/>
        <v>35</v>
      </c>
      <c r="C46" s="362"/>
      <c r="D46" s="53">
        <v>1</v>
      </c>
      <c r="E46" s="95">
        <v>495073</v>
      </c>
      <c r="F46" s="66" t="s">
        <v>99</v>
      </c>
      <c r="G46" s="367" t="s">
        <v>100</v>
      </c>
      <c r="H46" s="368"/>
      <c r="I46" s="368"/>
      <c r="J46" s="369"/>
      <c r="K46" s="159" t="s">
        <v>101</v>
      </c>
      <c r="L46" s="70"/>
      <c r="M46" s="61"/>
      <c r="N46" s="62" t="s">
        <v>37</v>
      </c>
      <c r="O46" s="351"/>
      <c r="P46" s="352"/>
      <c r="Q46" s="63"/>
      <c r="R46" s="68"/>
      <c r="S46" s="69"/>
      <c r="T46" s="142"/>
      <c r="U46" s="58"/>
      <c r="V46" s="141"/>
      <c r="W46" s="149" t="s">
        <v>102</v>
      </c>
    </row>
    <row r="47" spans="2:23" ht="24.95" customHeight="1" thickBot="1">
      <c r="B47" s="57">
        <f t="shared" si="0"/>
        <v>36</v>
      </c>
      <c r="C47" s="362"/>
      <c r="D47" s="53">
        <v>1</v>
      </c>
      <c r="E47" s="95">
        <v>495074</v>
      </c>
      <c r="F47" s="66" t="s">
        <v>103</v>
      </c>
      <c r="G47" s="367" t="s">
        <v>104</v>
      </c>
      <c r="H47" s="368"/>
      <c r="I47" s="368"/>
      <c r="J47" s="369"/>
      <c r="K47" s="159" t="s">
        <v>78</v>
      </c>
      <c r="L47" s="61"/>
      <c r="M47" s="61"/>
      <c r="N47" s="62" t="s">
        <v>37</v>
      </c>
      <c r="O47" s="351"/>
      <c r="P47" s="352"/>
      <c r="Q47" s="63"/>
      <c r="R47" s="67"/>
      <c r="S47" s="58"/>
      <c r="T47" s="141"/>
      <c r="U47" s="58"/>
      <c r="V47" s="141"/>
      <c r="W47" s="150"/>
    </row>
    <row r="48" spans="2:23" ht="24.95" customHeight="1" thickBot="1">
      <c r="B48" s="72">
        <f t="shared" si="0"/>
        <v>37</v>
      </c>
      <c r="C48" s="363"/>
      <c r="D48" s="53">
        <v>0</v>
      </c>
      <c r="E48" s="98">
        <v>496061</v>
      </c>
      <c r="F48" s="66"/>
      <c r="G48" s="370" t="s">
        <v>105</v>
      </c>
      <c r="H48" s="371"/>
      <c r="I48" s="371"/>
      <c r="J48" s="372"/>
      <c r="K48" s="66"/>
      <c r="L48" s="99"/>
      <c r="M48" s="99"/>
      <c r="N48" s="100" t="s">
        <v>37</v>
      </c>
      <c r="O48" s="355"/>
      <c r="P48" s="356"/>
      <c r="Q48" s="97"/>
      <c r="R48" s="99"/>
      <c r="S48" s="97"/>
      <c r="T48" s="146"/>
      <c r="U48" s="58"/>
      <c r="V48" s="141"/>
      <c r="W48" s="150"/>
    </row>
    <row r="49" spans="2:23" ht="24.95" customHeight="1" thickBot="1">
      <c r="B49" s="52">
        <f t="shared" si="0"/>
        <v>38</v>
      </c>
      <c r="C49" s="361" t="s">
        <v>106</v>
      </c>
      <c r="D49" s="53">
        <v>1</v>
      </c>
      <c r="E49" s="102">
        <v>495070</v>
      </c>
      <c r="F49" s="66" t="s">
        <v>107</v>
      </c>
      <c r="G49" s="376" t="s">
        <v>108</v>
      </c>
      <c r="H49" s="377"/>
      <c r="I49" s="377"/>
      <c r="J49" s="378"/>
      <c r="K49" s="159" t="s">
        <v>43</v>
      </c>
      <c r="L49" s="99" t="s">
        <v>39</v>
      </c>
      <c r="M49" s="55"/>
      <c r="N49" s="56" t="s">
        <v>37</v>
      </c>
      <c r="O49" s="353"/>
      <c r="P49" s="354"/>
      <c r="Q49" s="58"/>
      <c r="R49" s="70"/>
      <c r="S49" s="69"/>
      <c r="T49" s="142"/>
      <c r="U49" s="58"/>
      <c r="V49" s="141"/>
      <c r="W49" s="94"/>
    </row>
    <row r="50" spans="2:23" ht="24.95" customHeight="1" thickBot="1">
      <c r="B50" s="57">
        <f t="shared" si="0"/>
        <v>39</v>
      </c>
      <c r="C50" s="362"/>
      <c r="D50" s="53">
        <v>1</v>
      </c>
      <c r="E50" s="59">
        <v>495622</v>
      </c>
      <c r="F50" s="66" t="s">
        <v>109</v>
      </c>
      <c r="G50" s="364" t="s">
        <v>110</v>
      </c>
      <c r="H50" s="365"/>
      <c r="I50" s="365"/>
      <c r="J50" s="366"/>
      <c r="K50" s="159" t="s">
        <v>43</v>
      </c>
      <c r="L50" s="99" t="s">
        <v>39</v>
      </c>
      <c r="M50" s="61"/>
      <c r="N50" s="62" t="s">
        <v>37</v>
      </c>
      <c r="O50" s="351"/>
      <c r="P50" s="352"/>
      <c r="Q50" s="58"/>
      <c r="R50" s="70"/>
      <c r="S50" s="69"/>
      <c r="T50" s="142"/>
      <c r="U50" s="58"/>
      <c r="V50" s="141"/>
      <c r="W50" s="71"/>
    </row>
    <row r="51" spans="2:23" ht="24.95" customHeight="1" thickBot="1">
      <c r="B51" s="57">
        <f t="shared" si="0"/>
        <v>40</v>
      </c>
      <c r="C51" s="362"/>
      <c r="D51" s="53">
        <v>0</v>
      </c>
      <c r="E51" s="59">
        <v>495071</v>
      </c>
      <c r="F51" s="66" t="s">
        <v>37</v>
      </c>
      <c r="G51" s="379" t="s">
        <v>111</v>
      </c>
      <c r="H51" s="380"/>
      <c r="I51" s="380"/>
      <c r="J51" s="381"/>
      <c r="K51" s="66"/>
      <c r="L51" s="70"/>
      <c r="M51" s="61"/>
      <c r="N51" s="62" t="s">
        <v>37</v>
      </c>
      <c r="O51" s="351"/>
      <c r="P51" s="352"/>
      <c r="Q51" s="58"/>
      <c r="R51" s="70"/>
      <c r="S51" s="69"/>
      <c r="T51" s="142"/>
      <c r="U51" s="58"/>
      <c r="V51" s="141"/>
      <c r="W51" s="71"/>
    </row>
    <row r="52" spans="2:23" ht="24.95" customHeight="1" thickBot="1">
      <c r="B52" s="57">
        <f t="shared" si="0"/>
        <v>41</v>
      </c>
      <c r="C52" s="362"/>
      <c r="D52" s="53">
        <v>1</v>
      </c>
      <c r="E52" s="59">
        <v>495617</v>
      </c>
      <c r="F52" s="66" t="s">
        <v>112</v>
      </c>
      <c r="G52" s="364" t="s">
        <v>113</v>
      </c>
      <c r="H52" s="365"/>
      <c r="I52" s="365"/>
      <c r="J52" s="366"/>
      <c r="K52" s="159" t="s">
        <v>43</v>
      </c>
      <c r="L52" s="70" t="s">
        <v>39</v>
      </c>
      <c r="M52" s="139"/>
      <c r="N52" s="62" t="s">
        <v>37</v>
      </c>
      <c r="O52" s="351"/>
      <c r="P52" s="352"/>
      <c r="Q52" s="58"/>
      <c r="R52" s="70"/>
      <c r="S52" s="69"/>
      <c r="T52" s="142"/>
      <c r="U52" s="58"/>
      <c r="V52" s="141"/>
      <c r="W52" s="71"/>
    </row>
    <row r="53" spans="2:23" ht="24.95" customHeight="1" thickBot="1">
      <c r="B53" s="57">
        <f t="shared" si="0"/>
        <v>42</v>
      </c>
      <c r="C53" s="362"/>
      <c r="D53" s="53">
        <v>0</v>
      </c>
      <c r="E53" s="59">
        <v>495619</v>
      </c>
      <c r="F53" s="66" t="s">
        <v>37</v>
      </c>
      <c r="G53" s="379" t="s">
        <v>114</v>
      </c>
      <c r="H53" s="380"/>
      <c r="I53" s="380"/>
      <c r="J53" s="381"/>
      <c r="K53" s="66"/>
      <c r="L53" s="70"/>
      <c r="M53" s="139"/>
      <c r="N53" s="62" t="s">
        <v>37</v>
      </c>
      <c r="O53" s="351"/>
      <c r="P53" s="352"/>
      <c r="Q53" s="58"/>
      <c r="R53" s="70"/>
      <c r="S53" s="69"/>
      <c r="T53" s="142"/>
      <c r="U53" s="58"/>
      <c r="V53" s="141"/>
      <c r="W53" s="71"/>
    </row>
    <row r="54" spans="2:23" ht="24.95" customHeight="1" thickBot="1">
      <c r="B54" s="57">
        <f t="shared" si="0"/>
        <v>43</v>
      </c>
      <c r="C54" s="362"/>
      <c r="D54" s="53">
        <v>1</v>
      </c>
      <c r="E54" s="59">
        <v>496062</v>
      </c>
      <c r="F54" s="66" t="s">
        <v>115</v>
      </c>
      <c r="G54" s="364" t="s">
        <v>116</v>
      </c>
      <c r="H54" s="365"/>
      <c r="I54" s="365"/>
      <c r="J54" s="366"/>
      <c r="K54" s="159" t="s">
        <v>117</v>
      </c>
      <c r="L54" s="70"/>
      <c r="M54" s="139"/>
      <c r="N54" s="90" t="s">
        <v>37</v>
      </c>
      <c r="O54" s="351"/>
      <c r="P54" s="352"/>
      <c r="Q54" s="58"/>
      <c r="R54" s="70"/>
      <c r="S54" s="69"/>
      <c r="T54" s="142"/>
      <c r="U54" s="58"/>
      <c r="V54" s="141"/>
      <c r="W54" s="71"/>
    </row>
    <row r="55" spans="2:23" ht="24.95" customHeight="1" thickBot="1">
      <c r="B55" s="72">
        <f t="shared" si="0"/>
        <v>44</v>
      </c>
      <c r="C55" s="363"/>
      <c r="D55" s="53">
        <v>32</v>
      </c>
      <c r="E55" s="74">
        <v>495623</v>
      </c>
      <c r="F55" s="66" t="s">
        <v>118</v>
      </c>
      <c r="G55" s="398" t="s">
        <v>119</v>
      </c>
      <c r="H55" s="399"/>
      <c r="I55" s="399"/>
      <c r="J55" s="400"/>
      <c r="K55" s="66" t="s">
        <v>120</v>
      </c>
      <c r="L55" s="139"/>
      <c r="M55" s="139"/>
      <c r="N55" s="76" t="s">
        <v>37</v>
      </c>
      <c r="O55" s="355"/>
      <c r="P55" s="356"/>
      <c r="Q55" s="58"/>
      <c r="R55" s="68"/>
      <c r="S55" s="73"/>
      <c r="T55" s="143"/>
      <c r="U55" s="58"/>
      <c r="V55" s="141"/>
      <c r="W55" s="151" t="s">
        <v>121</v>
      </c>
    </row>
    <row r="56" spans="2:23" ht="24.95" customHeight="1" thickBot="1">
      <c r="B56" s="52">
        <f t="shared" si="0"/>
        <v>45</v>
      </c>
      <c r="C56" s="361" t="s">
        <v>122</v>
      </c>
      <c r="D56" s="53">
        <v>0</v>
      </c>
      <c r="E56" s="54">
        <v>495016</v>
      </c>
      <c r="F56" s="66" t="s">
        <v>37</v>
      </c>
      <c r="G56" s="407" t="s">
        <v>123</v>
      </c>
      <c r="H56" s="408"/>
      <c r="I56" s="408"/>
      <c r="J56" s="409"/>
      <c r="K56" s="66"/>
      <c r="L56" s="139"/>
      <c r="M56" s="139"/>
      <c r="N56" s="56" t="str">
        <f>'Controle de Eslingas'!I12</f>
        <v>AA9840</v>
      </c>
      <c r="O56" s="353"/>
      <c r="P56" s="354"/>
      <c r="Q56" s="58"/>
      <c r="R56" s="163"/>
      <c r="S56" s="53"/>
      <c r="T56" s="146"/>
      <c r="U56" s="58"/>
      <c r="V56" s="141"/>
      <c r="W56" s="149"/>
    </row>
    <row r="57" spans="2:23" ht="24.95" customHeight="1" thickBot="1">
      <c r="B57" s="57">
        <f t="shared" si="0"/>
        <v>46</v>
      </c>
      <c r="C57" s="362"/>
      <c r="D57" s="53">
        <v>0</v>
      </c>
      <c r="E57" s="64">
        <v>495017</v>
      </c>
      <c r="F57" s="66" t="s">
        <v>37</v>
      </c>
      <c r="G57" s="364" t="s">
        <v>124</v>
      </c>
      <c r="H57" s="365"/>
      <c r="I57" s="365"/>
      <c r="J57" s="366"/>
      <c r="K57" s="66"/>
      <c r="L57" s="139"/>
      <c r="M57" s="139"/>
      <c r="N57" s="62" t="s">
        <v>37</v>
      </c>
      <c r="O57" s="351"/>
      <c r="P57" s="352"/>
      <c r="Q57" s="58"/>
      <c r="R57" s="163"/>
      <c r="S57" s="53"/>
      <c r="T57" s="146"/>
      <c r="U57" s="58"/>
      <c r="V57" s="141"/>
      <c r="W57" s="150"/>
    </row>
    <row r="58" spans="2:23" ht="24.95" customHeight="1" thickBot="1">
      <c r="B58" s="57">
        <f t="shared" si="0"/>
        <v>47</v>
      </c>
      <c r="C58" s="362"/>
      <c r="D58" s="53">
        <v>0</v>
      </c>
      <c r="E58" s="79" t="s">
        <v>37</v>
      </c>
      <c r="F58" s="66" t="s">
        <v>37</v>
      </c>
      <c r="G58" s="364" t="s">
        <v>125</v>
      </c>
      <c r="H58" s="365"/>
      <c r="I58" s="365"/>
      <c r="J58" s="366"/>
      <c r="K58" s="66"/>
      <c r="L58" s="139"/>
      <c r="M58" s="139"/>
      <c r="N58" s="62" t="s">
        <v>37</v>
      </c>
      <c r="O58" s="351"/>
      <c r="P58" s="352"/>
      <c r="Q58" s="58"/>
      <c r="R58" s="67"/>
      <c r="S58" s="53"/>
      <c r="T58" s="146"/>
      <c r="U58" s="58"/>
      <c r="V58" s="141"/>
      <c r="W58" s="87"/>
    </row>
    <row r="59" spans="2:23" ht="24.95" customHeight="1" thickBot="1">
      <c r="B59" s="57">
        <f t="shared" si="0"/>
        <v>48</v>
      </c>
      <c r="C59" s="362"/>
      <c r="D59" s="53">
        <v>1</v>
      </c>
      <c r="E59" s="59">
        <v>495022</v>
      </c>
      <c r="F59" s="66" t="s">
        <v>126</v>
      </c>
      <c r="G59" s="379" t="s">
        <v>127</v>
      </c>
      <c r="H59" s="380"/>
      <c r="I59" s="380"/>
      <c r="J59" s="381"/>
      <c r="K59" s="66" t="s">
        <v>43</v>
      </c>
      <c r="L59" s="70"/>
      <c r="M59" s="61"/>
      <c r="N59" s="62" t="s">
        <v>37</v>
      </c>
      <c r="O59" s="351"/>
      <c r="P59" s="352"/>
      <c r="Q59" s="58"/>
      <c r="R59" s="67"/>
      <c r="S59" s="142"/>
      <c r="T59" s="142"/>
      <c r="U59" s="58"/>
      <c r="V59" s="141"/>
      <c r="W59" s="71"/>
    </row>
    <row r="60" spans="2:23" ht="24.95" customHeight="1" thickBot="1">
      <c r="B60" s="57">
        <f t="shared" si="0"/>
        <v>49</v>
      </c>
      <c r="C60" s="362"/>
      <c r="D60" s="53">
        <v>1</v>
      </c>
      <c r="E60" s="59">
        <v>495023</v>
      </c>
      <c r="F60" s="66" t="s">
        <v>128</v>
      </c>
      <c r="G60" s="364" t="s">
        <v>129</v>
      </c>
      <c r="H60" s="365"/>
      <c r="I60" s="365"/>
      <c r="J60" s="366"/>
      <c r="K60" s="66" t="s">
        <v>43</v>
      </c>
      <c r="L60" s="70"/>
      <c r="M60" s="61"/>
      <c r="N60" s="62" t="s">
        <v>37</v>
      </c>
      <c r="O60" s="351"/>
      <c r="P60" s="352"/>
      <c r="Q60" s="58"/>
      <c r="R60" s="67"/>
      <c r="S60" s="142"/>
      <c r="T60" s="142"/>
      <c r="U60" s="58"/>
      <c r="V60" s="141"/>
      <c r="W60" s="71"/>
    </row>
    <row r="61" spans="2:23" ht="24.95" customHeight="1" thickBot="1">
      <c r="B61" s="57">
        <f t="shared" si="0"/>
        <v>50</v>
      </c>
      <c r="C61" s="362"/>
      <c r="D61" s="53">
        <v>2</v>
      </c>
      <c r="E61" s="59" t="s">
        <v>37</v>
      </c>
      <c r="F61" s="66" t="s">
        <v>37</v>
      </c>
      <c r="G61" s="364" t="s">
        <v>125</v>
      </c>
      <c r="H61" s="365"/>
      <c r="I61" s="365"/>
      <c r="J61" s="366"/>
      <c r="K61" s="66" t="s">
        <v>117</v>
      </c>
      <c r="L61" s="70" t="s">
        <v>39</v>
      </c>
      <c r="M61" s="61"/>
      <c r="N61" s="62" t="s">
        <v>37</v>
      </c>
      <c r="O61" s="351"/>
      <c r="P61" s="352"/>
      <c r="Q61" s="58"/>
      <c r="R61" s="67"/>
      <c r="S61" s="142"/>
      <c r="T61" s="142"/>
      <c r="U61" s="58"/>
      <c r="V61" s="141"/>
      <c r="W61" s="71"/>
    </row>
    <row r="62" spans="2:23" ht="24.95" customHeight="1" thickBot="1">
      <c r="B62" s="57">
        <f t="shared" si="0"/>
        <v>51</v>
      </c>
      <c r="C62" s="362"/>
      <c r="D62" s="53">
        <v>0</v>
      </c>
      <c r="E62" s="59">
        <v>495031</v>
      </c>
      <c r="F62" s="66" t="s">
        <v>37</v>
      </c>
      <c r="G62" s="379" t="s">
        <v>130</v>
      </c>
      <c r="H62" s="380"/>
      <c r="I62" s="380"/>
      <c r="J62" s="381"/>
      <c r="K62" s="159"/>
      <c r="L62" s="70"/>
      <c r="M62" s="138"/>
      <c r="N62" s="62" t="e">
        <f>'Controle de Eslingas'!#REF!</f>
        <v>#REF!</v>
      </c>
      <c r="O62" s="351"/>
      <c r="P62" s="352"/>
      <c r="Q62" s="58"/>
      <c r="R62" s="163"/>
      <c r="S62" s="142"/>
      <c r="T62" s="142"/>
      <c r="U62" s="58"/>
      <c r="V62" s="141"/>
      <c r="W62" s="71"/>
    </row>
    <row r="63" spans="2:23" ht="24.95" customHeight="1" thickBot="1">
      <c r="B63" s="57">
        <f t="shared" si="0"/>
        <v>52</v>
      </c>
      <c r="C63" s="362"/>
      <c r="D63" s="53">
        <v>0</v>
      </c>
      <c r="E63" s="59">
        <v>495032</v>
      </c>
      <c r="F63" s="66" t="s">
        <v>37</v>
      </c>
      <c r="G63" s="364" t="s">
        <v>131</v>
      </c>
      <c r="H63" s="365"/>
      <c r="I63" s="365"/>
      <c r="J63" s="366"/>
      <c r="K63" s="159"/>
      <c r="L63" s="70"/>
      <c r="M63" s="61"/>
      <c r="N63" s="62" t="s">
        <v>37</v>
      </c>
      <c r="O63" s="351"/>
      <c r="P63" s="352"/>
      <c r="Q63" s="58"/>
      <c r="R63" s="70"/>
      <c r="S63" s="142"/>
      <c r="T63" s="142"/>
      <c r="U63" s="58"/>
      <c r="V63" s="141"/>
      <c r="W63" s="71"/>
    </row>
    <row r="64" spans="2:23" ht="24.95" customHeight="1" thickBot="1">
      <c r="B64" s="57">
        <f t="shared" si="0"/>
        <v>53</v>
      </c>
      <c r="C64" s="362"/>
      <c r="D64" s="53">
        <v>0</v>
      </c>
      <c r="E64" s="59">
        <v>495031</v>
      </c>
      <c r="F64" s="66" t="s">
        <v>37</v>
      </c>
      <c r="G64" s="379" t="s">
        <v>130</v>
      </c>
      <c r="H64" s="380"/>
      <c r="I64" s="380"/>
      <c r="J64" s="381"/>
      <c r="K64" s="66"/>
      <c r="L64" s="70"/>
      <c r="M64" s="61"/>
      <c r="N64" s="62" t="e">
        <f>'Controle de Eslingas'!#REF!</f>
        <v>#REF!</v>
      </c>
      <c r="O64" s="351"/>
      <c r="P64" s="352"/>
      <c r="Q64" s="58"/>
      <c r="R64" s="70"/>
      <c r="S64" s="69"/>
      <c r="T64" s="142"/>
      <c r="U64" s="58"/>
      <c r="V64" s="141"/>
      <c r="W64" s="71"/>
    </row>
    <row r="65" spans="2:24" ht="24.95" customHeight="1" thickBot="1">
      <c r="B65" s="57">
        <f t="shared" si="0"/>
        <v>54</v>
      </c>
      <c r="C65" s="362"/>
      <c r="D65" s="53">
        <v>0</v>
      </c>
      <c r="E65" s="59">
        <v>495032</v>
      </c>
      <c r="F65" s="66" t="s">
        <v>37</v>
      </c>
      <c r="G65" s="364" t="s">
        <v>131</v>
      </c>
      <c r="H65" s="365"/>
      <c r="I65" s="365"/>
      <c r="J65" s="366"/>
      <c r="K65" s="66"/>
      <c r="L65" s="70"/>
      <c r="M65" s="61"/>
      <c r="N65" s="62" t="s">
        <v>37</v>
      </c>
      <c r="O65" s="351"/>
      <c r="P65" s="352"/>
      <c r="Q65" s="58"/>
      <c r="R65" s="70"/>
      <c r="S65" s="69"/>
      <c r="T65" s="142"/>
      <c r="U65" s="58"/>
      <c r="V65" s="141"/>
      <c r="W65" s="70"/>
      <c r="X65" s="8"/>
    </row>
    <row r="66" spans="2:24" ht="24.95" customHeight="1" thickBot="1">
      <c r="B66" s="57">
        <f t="shared" si="0"/>
        <v>55</v>
      </c>
      <c r="C66" s="362"/>
      <c r="D66" s="53">
        <v>0</v>
      </c>
      <c r="E66" s="59">
        <v>495035</v>
      </c>
      <c r="F66" s="66" t="s">
        <v>37</v>
      </c>
      <c r="G66" s="364" t="s">
        <v>132</v>
      </c>
      <c r="H66" s="365"/>
      <c r="I66" s="365"/>
      <c r="J66" s="366"/>
      <c r="K66" s="66"/>
      <c r="L66" s="70"/>
      <c r="M66" s="61"/>
      <c r="N66" s="62" t="s">
        <v>37</v>
      </c>
      <c r="O66" s="351"/>
      <c r="P66" s="352"/>
      <c r="Q66" s="58"/>
      <c r="R66" s="70"/>
      <c r="S66" s="69"/>
      <c r="T66" s="142"/>
      <c r="U66" s="58"/>
      <c r="V66" s="141"/>
      <c r="W66" s="71"/>
    </row>
    <row r="67" spans="2:24" ht="24.95" customHeight="1" thickBot="1">
      <c r="B67" s="57">
        <f t="shared" si="0"/>
        <v>56</v>
      </c>
      <c r="C67" s="362"/>
      <c r="D67" s="53">
        <v>0</v>
      </c>
      <c r="E67" s="59">
        <v>495041</v>
      </c>
      <c r="F67" s="66" t="s">
        <v>37</v>
      </c>
      <c r="G67" s="379" t="s">
        <v>133</v>
      </c>
      <c r="H67" s="380"/>
      <c r="I67" s="380"/>
      <c r="J67" s="381"/>
      <c r="K67" s="66"/>
      <c r="L67" s="70"/>
      <c r="M67" s="61"/>
      <c r="N67" s="62" t="e">
        <f>'Controle de Eslingas'!#REF!</f>
        <v>#REF!</v>
      </c>
      <c r="O67" s="351"/>
      <c r="P67" s="352"/>
      <c r="Q67" s="58"/>
      <c r="R67" s="70"/>
      <c r="S67" s="69"/>
      <c r="T67" s="142"/>
      <c r="U67" s="58"/>
      <c r="V67" s="141"/>
      <c r="W67" s="71"/>
    </row>
    <row r="68" spans="2:24" ht="24.95" customHeight="1" thickBot="1">
      <c r="B68" s="72">
        <f t="shared" si="0"/>
        <v>57</v>
      </c>
      <c r="C68" s="363"/>
      <c r="D68" s="53">
        <v>0</v>
      </c>
      <c r="E68" s="74">
        <v>495042</v>
      </c>
      <c r="F68" s="66" t="s">
        <v>37</v>
      </c>
      <c r="G68" s="398" t="s">
        <v>134</v>
      </c>
      <c r="H68" s="399"/>
      <c r="I68" s="399"/>
      <c r="J68" s="400"/>
      <c r="K68" s="66"/>
      <c r="L68" s="75"/>
      <c r="M68" s="75"/>
      <c r="N68" s="76" t="s">
        <v>37</v>
      </c>
      <c r="O68" s="355"/>
      <c r="P68" s="356"/>
      <c r="Q68" s="73"/>
      <c r="R68" s="75"/>
      <c r="S68" s="73"/>
      <c r="T68" s="143"/>
      <c r="U68" s="58"/>
      <c r="V68" s="141"/>
      <c r="W68" s="151"/>
    </row>
    <row r="69" spans="2:24" ht="24.95" customHeight="1" thickBot="1">
      <c r="B69" s="52">
        <f t="shared" si="0"/>
        <v>58</v>
      </c>
      <c r="C69" s="361" t="s">
        <v>135</v>
      </c>
      <c r="D69" s="53">
        <v>1</v>
      </c>
      <c r="E69" s="102">
        <v>495008</v>
      </c>
      <c r="F69" s="66" t="s">
        <v>136</v>
      </c>
      <c r="G69" s="407" t="s">
        <v>137</v>
      </c>
      <c r="H69" s="408"/>
      <c r="I69" s="408"/>
      <c r="J69" s="409"/>
      <c r="K69" s="159" t="s">
        <v>43</v>
      </c>
      <c r="L69" s="70" t="s">
        <v>39</v>
      </c>
      <c r="M69" s="55"/>
      <c r="N69" s="62" t="s">
        <v>37</v>
      </c>
      <c r="O69" s="353"/>
      <c r="P69" s="354"/>
      <c r="Q69" s="58"/>
      <c r="R69" s="106"/>
      <c r="S69" s="91"/>
      <c r="T69" s="147"/>
      <c r="U69" s="58"/>
      <c r="V69" s="141"/>
      <c r="W69" s="94"/>
    </row>
    <row r="70" spans="2:24" ht="24.95" customHeight="1" thickBot="1">
      <c r="B70" s="57">
        <f t="shared" si="0"/>
        <v>59</v>
      </c>
      <c r="C70" s="362"/>
      <c r="D70" s="53">
        <v>1</v>
      </c>
      <c r="E70" s="59" t="s">
        <v>37</v>
      </c>
      <c r="F70" s="66" t="s">
        <v>138</v>
      </c>
      <c r="G70" s="364" t="s">
        <v>139</v>
      </c>
      <c r="H70" s="365"/>
      <c r="I70" s="365"/>
      <c r="J70" s="366"/>
      <c r="K70" s="159" t="s">
        <v>43</v>
      </c>
      <c r="L70" s="70" t="s">
        <v>39</v>
      </c>
      <c r="M70" s="61"/>
      <c r="N70" s="62" t="s">
        <v>37</v>
      </c>
      <c r="O70" s="351"/>
      <c r="P70" s="352"/>
      <c r="Q70" s="58"/>
      <c r="R70" s="68"/>
      <c r="S70" s="69"/>
      <c r="T70" s="142"/>
      <c r="U70" s="58"/>
      <c r="V70" s="141"/>
      <c r="W70" s="71"/>
    </row>
    <row r="71" spans="2:24" ht="24.95" customHeight="1" thickBot="1">
      <c r="B71" s="57">
        <f t="shared" si="0"/>
        <v>60</v>
      </c>
      <c r="C71" s="362"/>
      <c r="D71" s="53">
        <v>0</v>
      </c>
      <c r="E71" s="59" t="s">
        <v>37</v>
      </c>
      <c r="F71" s="66" t="s">
        <v>37</v>
      </c>
      <c r="G71" s="364" t="s">
        <v>140</v>
      </c>
      <c r="H71" s="365"/>
      <c r="I71" s="365"/>
      <c r="J71" s="366"/>
      <c r="K71" s="66"/>
      <c r="L71" s="70"/>
      <c r="M71" s="61"/>
      <c r="N71" s="62" t="s">
        <v>37</v>
      </c>
      <c r="O71" s="351"/>
      <c r="P71" s="352"/>
      <c r="Q71" s="58"/>
      <c r="R71" s="70"/>
      <c r="S71" s="69"/>
      <c r="T71" s="142"/>
      <c r="U71" s="58"/>
      <c r="V71" s="141"/>
      <c r="W71" s="71"/>
    </row>
    <row r="72" spans="2:24" ht="24.95" customHeight="1" thickBot="1">
      <c r="B72" s="57">
        <f t="shared" si="0"/>
        <v>61</v>
      </c>
      <c r="C72" s="362"/>
      <c r="D72" s="53">
        <v>0</v>
      </c>
      <c r="E72" s="59" t="s">
        <v>37</v>
      </c>
      <c r="F72" s="66" t="s">
        <v>37</v>
      </c>
      <c r="G72" s="364" t="s">
        <v>141</v>
      </c>
      <c r="H72" s="365"/>
      <c r="I72" s="365"/>
      <c r="J72" s="366"/>
      <c r="K72" s="66"/>
      <c r="L72" s="70"/>
      <c r="M72" s="61"/>
      <c r="N72" s="62" t="s">
        <v>37</v>
      </c>
      <c r="O72" s="351"/>
      <c r="P72" s="352"/>
      <c r="Q72" s="58"/>
      <c r="R72" s="70"/>
      <c r="S72" s="69"/>
      <c r="T72" s="142"/>
      <c r="U72" s="58"/>
      <c r="V72" s="141"/>
      <c r="W72" s="71"/>
    </row>
    <row r="73" spans="2:24" ht="24.95" customHeight="1" thickBot="1">
      <c r="B73" s="57">
        <f t="shared" si="0"/>
        <v>62</v>
      </c>
      <c r="C73" s="362"/>
      <c r="D73" s="53">
        <v>5</v>
      </c>
      <c r="E73" s="59" t="s">
        <v>37</v>
      </c>
      <c r="F73" s="167" t="s">
        <v>142</v>
      </c>
      <c r="G73" s="364" t="s">
        <v>143</v>
      </c>
      <c r="H73" s="365"/>
      <c r="I73" s="365"/>
      <c r="J73" s="366"/>
      <c r="K73" s="159" t="s">
        <v>67</v>
      </c>
      <c r="L73" s="70" t="s">
        <v>98</v>
      </c>
      <c r="M73" s="61"/>
      <c r="N73" s="62" t="s">
        <v>37</v>
      </c>
      <c r="O73" s="351"/>
      <c r="P73" s="352"/>
      <c r="Q73" s="58"/>
      <c r="R73" s="68"/>
      <c r="S73" s="69"/>
      <c r="T73" s="142"/>
      <c r="U73" s="58"/>
      <c r="V73" s="141"/>
      <c r="W73" s="71" t="s">
        <v>144</v>
      </c>
    </row>
    <row r="74" spans="2:24" ht="24.95" customHeight="1" thickBot="1">
      <c r="B74" s="57">
        <f t="shared" si="0"/>
        <v>63</v>
      </c>
      <c r="C74" s="362"/>
      <c r="D74" s="53">
        <v>1</v>
      </c>
      <c r="E74" s="59">
        <v>498056</v>
      </c>
      <c r="F74" s="66" t="s">
        <v>145</v>
      </c>
      <c r="G74" s="379" t="s">
        <v>146</v>
      </c>
      <c r="H74" s="380"/>
      <c r="I74" s="380"/>
      <c r="J74" s="381"/>
      <c r="K74" s="159" t="s">
        <v>43</v>
      </c>
      <c r="L74" s="70" t="s">
        <v>39</v>
      </c>
      <c r="M74" s="61"/>
      <c r="N74" s="62" t="s">
        <v>37</v>
      </c>
      <c r="O74" s="351"/>
      <c r="P74" s="352"/>
      <c r="Q74" s="58"/>
      <c r="R74" s="68"/>
      <c r="S74" s="69"/>
      <c r="T74" s="142"/>
      <c r="U74" s="58"/>
      <c r="V74" s="141"/>
      <c r="W74" s="71"/>
    </row>
    <row r="75" spans="2:24" ht="24.95" customHeight="1" thickBot="1">
      <c r="B75" s="57">
        <f t="shared" si="0"/>
        <v>64</v>
      </c>
      <c r="C75" s="362"/>
      <c r="D75" s="53">
        <v>0</v>
      </c>
      <c r="E75" s="59" t="s">
        <v>37</v>
      </c>
      <c r="F75" s="66" t="s">
        <v>37</v>
      </c>
      <c r="G75" s="364" t="s">
        <v>147</v>
      </c>
      <c r="H75" s="365"/>
      <c r="I75" s="365"/>
      <c r="J75" s="366"/>
      <c r="K75" s="66"/>
      <c r="L75" s="70"/>
      <c r="M75" s="61"/>
      <c r="N75" s="62" t="s">
        <v>37</v>
      </c>
      <c r="O75" s="351"/>
      <c r="P75" s="352"/>
      <c r="Q75" s="58"/>
      <c r="R75" s="70"/>
      <c r="S75" s="69"/>
      <c r="T75" s="142"/>
      <c r="U75" s="58"/>
      <c r="V75" s="141"/>
      <c r="W75" s="71"/>
    </row>
    <row r="76" spans="2:24" ht="24.95" customHeight="1" thickBot="1">
      <c r="B76" s="57">
        <f t="shared" si="0"/>
        <v>65</v>
      </c>
      <c r="C76" s="362"/>
      <c r="D76" s="53">
        <v>0</v>
      </c>
      <c r="E76" s="59" t="s">
        <v>37</v>
      </c>
      <c r="F76" s="66" t="s">
        <v>37</v>
      </c>
      <c r="G76" s="364" t="s">
        <v>148</v>
      </c>
      <c r="H76" s="365"/>
      <c r="I76" s="365"/>
      <c r="J76" s="366"/>
      <c r="K76" s="66"/>
      <c r="L76" s="70"/>
      <c r="M76" s="61"/>
      <c r="N76" s="62" t="s">
        <v>37</v>
      </c>
      <c r="O76" s="351"/>
      <c r="P76" s="352"/>
      <c r="Q76" s="58"/>
      <c r="R76" s="68"/>
      <c r="S76" s="69"/>
      <c r="T76" s="142"/>
      <c r="U76" s="58"/>
      <c r="V76" s="141"/>
      <c r="W76" s="71"/>
    </row>
    <row r="77" spans="2:24" ht="24.95" customHeight="1" thickBot="1">
      <c r="B77" s="57">
        <f t="shared" si="0"/>
        <v>66</v>
      </c>
      <c r="C77" s="362"/>
      <c r="D77" s="53">
        <v>3</v>
      </c>
      <c r="E77" s="59" t="s">
        <v>37</v>
      </c>
      <c r="F77" s="66" t="s">
        <v>149</v>
      </c>
      <c r="G77" s="364" t="s">
        <v>150</v>
      </c>
      <c r="H77" s="365"/>
      <c r="I77" s="365"/>
      <c r="J77" s="366"/>
      <c r="K77" s="159" t="s">
        <v>67</v>
      </c>
      <c r="L77" s="70" t="s">
        <v>98</v>
      </c>
      <c r="M77" s="61"/>
      <c r="N77" s="62" t="s">
        <v>37</v>
      </c>
      <c r="O77" s="351"/>
      <c r="P77" s="352"/>
      <c r="Q77" s="58"/>
      <c r="R77" s="68"/>
      <c r="S77" s="69"/>
      <c r="T77" s="142"/>
      <c r="U77" s="58"/>
      <c r="V77" s="141"/>
      <c r="W77" s="171"/>
    </row>
    <row r="78" spans="2:24" ht="24.95" customHeight="1" thickBot="1">
      <c r="B78" s="57">
        <f t="shared" ref="B78:B142" si="1">IF(G78="","",1+B77)</f>
        <v>67</v>
      </c>
      <c r="C78" s="362"/>
      <c r="D78" s="53">
        <v>0</v>
      </c>
      <c r="E78" s="59" t="s">
        <v>37</v>
      </c>
      <c r="F78" s="66" t="s">
        <v>151</v>
      </c>
      <c r="G78" s="364" t="s">
        <v>152</v>
      </c>
      <c r="H78" s="365"/>
      <c r="I78" s="365"/>
      <c r="J78" s="366"/>
      <c r="K78" s="66"/>
      <c r="L78" s="70"/>
      <c r="M78" s="61"/>
      <c r="N78" s="62" t="s">
        <v>37</v>
      </c>
      <c r="O78" s="351"/>
      <c r="P78" s="352"/>
      <c r="Q78" s="58"/>
      <c r="R78" s="70"/>
      <c r="S78" s="69"/>
      <c r="T78" s="142"/>
      <c r="U78" s="58"/>
      <c r="V78" s="141"/>
      <c r="W78" s="71"/>
    </row>
    <row r="79" spans="2:24" ht="24.95" customHeight="1" thickBot="1">
      <c r="B79" s="57">
        <f t="shared" si="1"/>
        <v>68</v>
      </c>
      <c r="C79" s="362"/>
      <c r="D79" s="53">
        <v>1</v>
      </c>
      <c r="E79" s="59" t="s">
        <v>37</v>
      </c>
      <c r="F79" s="66" t="s">
        <v>153</v>
      </c>
      <c r="G79" s="364" t="s">
        <v>154</v>
      </c>
      <c r="H79" s="365"/>
      <c r="I79" s="365"/>
      <c r="J79" s="366"/>
      <c r="K79" s="159" t="s">
        <v>43</v>
      </c>
      <c r="L79" s="70" t="s">
        <v>39</v>
      </c>
      <c r="M79" s="61"/>
      <c r="N79" s="62" t="s">
        <v>37</v>
      </c>
      <c r="O79" s="351"/>
      <c r="P79" s="352"/>
      <c r="Q79" s="58"/>
      <c r="R79" s="70"/>
      <c r="S79" s="69"/>
      <c r="T79" s="142"/>
      <c r="U79" s="58"/>
      <c r="V79" s="141"/>
      <c r="W79" s="171"/>
    </row>
    <row r="80" spans="2:24" ht="24.95" customHeight="1" thickBot="1">
      <c r="B80" s="57">
        <f t="shared" si="1"/>
        <v>69</v>
      </c>
      <c r="C80" s="362"/>
      <c r="D80" s="53">
        <v>1</v>
      </c>
      <c r="E80" s="59" t="s">
        <v>37</v>
      </c>
      <c r="F80" s="66" t="s">
        <v>155</v>
      </c>
      <c r="G80" s="364" t="s">
        <v>154</v>
      </c>
      <c r="H80" s="365"/>
      <c r="I80" s="365"/>
      <c r="J80" s="366"/>
      <c r="K80" s="159" t="s">
        <v>43</v>
      </c>
      <c r="L80" s="70" t="s">
        <v>39</v>
      </c>
      <c r="M80" s="61"/>
      <c r="N80" s="62" t="s">
        <v>37</v>
      </c>
      <c r="O80" s="351"/>
      <c r="P80" s="352"/>
      <c r="Q80" s="58"/>
      <c r="R80" s="68"/>
      <c r="S80" s="69"/>
      <c r="T80" s="142"/>
      <c r="U80" s="58"/>
      <c r="V80" s="141"/>
      <c r="W80" s="71"/>
    </row>
    <row r="81" spans="2:23" ht="24.95" customHeight="1" thickBot="1">
      <c r="B81" s="57">
        <f t="shared" si="1"/>
        <v>70</v>
      </c>
      <c r="C81" s="362"/>
      <c r="D81" s="53">
        <v>1</v>
      </c>
      <c r="E81" s="59" t="s">
        <v>37</v>
      </c>
      <c r="F81" s="66" t="s">
        <v>156</v>
      </c>
      <c r="G81" s="364" t="s">
        <v>157</v>
      </c>
      <c r="H81" s="365"/>
      <c r="I81" s="365"/>
      <c r="J81" s="366"/>
      <c r="K81" s="159" t="s">
        <v>43</v>
      </c>
      <c r="L81" s="70" t="s">
        <v>39</v>
      </c>
      <c r="M81" s="61"/>
      <c r="N81" s="62" t="s">
        <v>37</v>
      </c>
      <c r="O81" s="351"/>
      <c r="P81" s="352"/>
      <c r="Q81" s="58"/>
      <c r="R81" s="68"/>
      <c r="S81" s="69"/>
      <c r="T81" s="142"/>
      <c r="U81" s="58"/>
      <c r="V81" s="141"/>
      <c r="W81" s="71"/>
    </row>
    <row r="82" spans="2:23" ht="24.95" customHeight="1" thickBot="1">
      <c r="B82" s="57">
        <f t="shared" si="1"/>
        <v>71</v>
      </c>
      <c r="C82" s="362"/>
      <c r="D82" s="53">
        <v>1</v>
      </c>
      <c r="E82" s="59" t="s">
        <v>37</v>
      </c>
      <c r="F82" s="66" t="s">
        <v>158</v>
      </c>
      <c r="G82" s="364" t="s">
        <v>157</v>
      </c>
      <c r="H82" s="365"/>
      <c r="I82" s="365"/>
      <c r="J82" s="366"/>
      <c r="K82" s="159" t="s">
        <v>43</v>
      </c>
      <c r="L82" s="70" t="s">
        <v>39</v>
      </c>
      <c r="M82" s="61"/>
      <c r="N82" s="62" t="s">
        <v>37</v>
      </c>
      <c r="O82" s="351"/>
      <c r="P82" s="352"/>
      <c r="Q82" s="58"/>
      <c r="R82" s="68"/>
      <c r="S82" s="69"/>
      <c r="T82" s="142"/>
      <c r="U82" s="58"/>
      <c r="V82" s="141"/>
      <c r="W82" s="71"/>
    </row>
    <row r="83" spans="2:23" ht="24.95" customHeight="1" thickBot="1">
      <c r="B83" s="57">
        <f t="shared" si="1"/>
        <v>72</v>
      </c>
      <c r="C83" s="362"/>
      <c r="D83" s="53">
        <v>0</v>
      </c>
      <c r="E83" s="59" t="s">
        <v>37</v>
      </c>
      <c r="F83" s="66" t="s">
        <v>37</v>
      </c>
      <c r="G83" s="364" t="s">
        <v>159</v>
      </c>
      <c r="H83" s="365"/>
      <c r="I83" s="365"/>
      <c r="J83" s="366"/>
      <c r="K83" s="89"/>
      <c r="L83" s="70"/>
      <c r="M83" s="61"/>
      <c r="N83" s="62" t="s">
        <v>37</v>
      </c>
      <c r="O83" s="351"/>
      <c r="P83" s="352"/>
      <c r="Q83" s="58"/>
      <c r="R83" s="68"/>
      <c r="S83" s="69"/>
      <c r="T83" s="142"/>
      <c r="U83" s="58"/>
      <c r="V83" s="141"/>
      <c r="W83" s="71"/>
    </row>
    <row r="84" spans="2:23" ht="24.95" customHeight="1" thickBot="1">
      <c r="B84" s="57">
        <f t="shared" si="1"/>
        <v>73</v>
      </c>
      <c r="C84" s="362"/>
      <c r="D84" s="53">
        <v>0</v>
      </c>
      <c r="E84" s="59" t="s">
        <v>37</v>
      </c>
      <c r="F84" s="66" t="s">
        <v>37</v>
      </c>
      <c r="G84" s="364" t="s">
        <v>160</v>
      </c>
      <c r="H84" s="365"/>
      <c r="I84" s="365"/>
      <c r="J84" s="366"/>
      <c r="K84" s="89"/>
      <c r="L84" s="70"/>
      <c r="M84" s="61"/>
      <c r="N84" s="62" t="s">
        <v>37</v>
      </c>
      <c r="O84" s="351"/>
      <c r="P84" s="352"/>
      <c r="Q84" s="58"/>
      <c r="R84" s="68"/>
      <c r="S84" s="69"/>
      <c r="T84" s="142"/>
      <c r="U84" s="58"/>
      <c r="V84" s="141"/>
      <c r="W84" s="71"/>
    </row>
    <row r="85" spans="2:23" ht="24.95" customHeight="1" thickBot="1">
      <c r="B85" s="57">
        <f t="shared" si="1"/>
        <v>74</v>
      </c>
      <c r="C85" s="362"/>
      <c r="D85" s="53">
        <v>0</v>
      </c>
      <c r="E85" s="59" t="s">
        <v>37</v>
      </c>
      <c r="F85" s="66" t="s">
        <v>37</v>
      </c>
      <c r="G85" s="364" t="s">
        <v>160</v>
      </c>
      <c r="H85" s="365"/>
      <c r="I85" s="365"/>
      <c r="J85" s="366"/>
      <c r="K85" s="89"/>
      <c r="L85" s="70"/>
      <c r="M85" s="61"/>
      <c r="N85" s="62" t="s">
        <v>37</v>
      </c>
      <c r="O85" s="351"/>
      <c r="P85" s="352"/>
      <c r="Q85" s="58"/>
      <c r="R85" s="68"/>
      <c r="S85" s="69"/>
      <c r="T85" s="142"/>
      <c r="U85" s="58"/>
      <c r="V85" s="141"/>
      <c r="W85" s="71"/>
    </row>
    <row r="86" spans="2:23" ht="24.95" customHeight="1" thickBot="1">
      <c r="B86" s="57">
        <f t="shared" si="1"/>
        <v>75</v>
      </c>
      <c r="C86" s="362"/>
      <c r="D86" s="53">
        <v>1</v>
      </c>
      <c r="E86" s="59">
        <v>495014</v>
      </c>
      <c r="F86" s="66" t="s">
        <v>161</v>
      </c>
      <c r="G86" s="364" t="s">
        <v>162</v>
      </c>
      <c r="H86" s="365"/>
      <c r="I86" s="365"/>
      <c r="J86" s="366"/>
      <c r="K86" s="159" t="s">
        <v>163</v>
      </c>
      <c r="L86" s="68" t="s">
        <v>39</v>
      </c>
      <c r="M86" s="61"/>
      <c r="N86" s="62" t="s">
        <v>37</v>
      </c>
      <c r="O86" s="351"/>
      <c r="P86" s="352"/>
      <c r="Q86" s="58"/>
      <c r="R86" s="70"/>
      <c r="S86" s="69"/>
      <c r="T86" s="142"/>
      <c r="U86" s="58"/>
      <c r="V86" s="141"/>
      <c r="W86" s="71"/>
    </row>
    <row r="87" spans="2:23" ht="24.95" customHeight="1" thickBot="1">
      <c r="B87" s="57">
        <f t="shared" si="1"/>
        <v>76</v>
      </c>
      <c r="C87" s="362"/>
      <c r="D87" s="53">
        <v>1</v>
      </c>
      <c r="E87" s="59">
        <v>495015</v>
      </c>
      <c r="F87" s="66" t="s">
        <v>164</v>
      </c>
      <c r="G87" s="364" t="s">
        <v>165</v>
      </c>
      <c r="H87" s="365"/>
      <c r="I87" s="365"/>
      <c r="J87" s="366"/>
      <c r="K87" s="159" t="s">
        <v>163</v>
      </c>
      <c r="L87" s="68" t="s">
        <v>39</v>
      </c>
      <c r="M87" s="61"/>
      <c r="N87" s="62" t="s">
        <v>37</v>
      </c>
      <c r="O87" s="351"/>
      <c r="P87" s="352"/>
      <c r="Q87" s="58"/>
      <c r="R87" s="70"/>
      <c r="S87" s="69"/>
      <c r="T87" s="142"/>
      <c r="U87" s="58"/>
      <c r="V87" s="141"/>
      <c r="W87" s="71"/>
    </row>
    <row r="88" spans="2:23" ht="24.95" customHeight="1" thickBot="1">
      <c r="B88" s="88">
        <f t="shared" si="1"/>
        <v>77</v>
      </c>
      <c r="C88" s="362"/>
      <c r="D88" s="53">
        <v>0</v>
      </c>
      <c r="E88" s="59">
        <v>495011</v>
      </c>
      <c r="F88" s="66" t="s">
        <v>37</v>
      </c>
      <c r="G88" s="404" t="s">
        <v>166</v>
      </c>
      <c r="H88" s="405"/>
      <c r="I88" s="405"/>
      <c r="J88" s="406"/>
      <c r="K88" s="75"/>
      <c r="L88" s="75"/>
      <c r="M88" s="61"/>
      <c r="N88" s="62" t="s">
        <v>37</v>
      </c>
      <c r="O88" s="357"/>
      <c r="P88" s="358"/>
      <c r="Q88" s="58"/>
      <c r="R88" s="68"/>
      <c r="S88" s="69"/>
      <c r="T88" s="142"/>
      <c r="U88" s="58"/>
      <c r="V88" s="141"/>
      <c r="W88" s="71"/>
    </row>
    <row r="89" spans="2:23" ht="24.95" customHeight="1" thickBot="1">
      <c r="B89" s="52">
        <f t="shared" si="1"/>
        <v>78</v>
      </c>
      <c r="C89" s="361" t="s">
        <v>167</v>
      </c>
      <c r="D89" s="53">
        <v>1</v>
      </c>
      <c r="E89" s="102" t="s">
        <v>37</v>
      </c>
      <c r="F89" s="66" t="s">
        <v>168</v>
      </c>
      <c r="G89" s="376" t="s">
        <v>169</v>
      </c>
      <c r="H89" s="377"/>
      <c r="I89" s="377"/>
      <c r="J89" s="378"/>
      <c r="K89" s="159" t="s">
        <v>43</v>
      </c>
      <c r="L89" s="93"/>
      <c r="M89" s="55"/>
      <c r="N89" s="56" t="s">
        <v>37</v>
      </c>
      <c r="O89" s="353"/>
      <c r="P89" s="354"/>
      <c r="Q89" s="58"/>
      <c r="R89" s="106"/>
      <c r="S89" s="91"/>
      <c r="T89" s="147"/>
      <c r="U89" s="58"/>
      <c r="V89" s="141"/>
      <c r="W89" s="94"/>
    </row>
    <row r="90" spans="2:23" ht="24.95" customHeight="1" thickBot="1">
      <c r="B90" s="57">
        <f t="shared" si="1"/>
        <v>79</v>
      </c>
      <c r="C90" s="362"/>
      <c r="D90" s="53">
        <v>0</v>
      </c>
      <c r="E90" s="59" t="s">
        <v>37</v>
      </c>
      <c r="F90" s="89" t="s">
        <v>37</v>
      </c>
      <c r="G90" s="364" t="s">
        <v>169</v>
      </c>
      <c r="H90" s="365"/>
      <c r="I90" s="365"/>
      <c r="J90" s="366"/>
      <c r="K90" s="66"/>
      <c r="L90" s="93"/>
      <c r="M90" s="55"/>
      <c r="N90" s="62" t="s">
        <v>37</v>
      </c>
      <c r="O90" s="351"/>
      <c r="P90" s="352"/>
      <c r="Q90" s="58"/>
      <c r="R90" s="68"/>
      <c r="S90" s="69"/>
      <c r="T90" s="142"/>
      <c r="U90" s="58"/>
      <c r="V90" s="141"/>
      <c r="W90" s="71"/>
    </row>
    <row r="91" spans="2:23" ht="24.95" customHeight="1" thickBot="1">
      <c r="B91" s="57">
        <f t="shared" si="1"/>
        <v>80</v>
      </c>
      <c r="C91" s="362"/>
      <c r="D91" s="53">
        <v>1</v>
      </c>
      <c r="E91" s="59" t="s">
        <v>37</v>
      </c>
      <c r="F91" s="66" t="s">
        <v>170</v>
      </c>
      <c r="G91" s="364" t="s">
        <v>169</v>
      </c>
      <c r="H91" s="365"/>
      <c r="I91" s="365"/>
      <c r="J91" s="366"/>
      <c r="K91" s="159" t="s">
        <v>43</v>
      </c>
      <c r="L91" s="93" t="s">
        <v>98</v>
      </c>
      <c r="M91" s="55"/>
      <c r="N91" s="62" t="s">
        <v>37</v>
      </c>
      <c r="O91" s="351"/>
      <c r="P91" s="352"/>
      <c r="Q91" s="58"/>
      <c r="R91" s="68"/>
      <c r="S91" s="69"/>
      <c r="T91" s="142"/>
      <c r="U91" s="58"/>
      <c r="V91" s="141"/>
      <c r="W91" s="71"/>
    </row>
    <row r="92" spans="2:23" ht="24.95" customHeight="1" thickBot="1">
      <c r="B92" s="72">
        <f t="shared" si="1"/>
        <v>81</v>
      </c>
      <c r="C92" s="363"/>
      <c r="D92" s="53">
        <v>1</v>
      </c>
      <c r="E92" s="74" t="s">
        <v>37</v>
      </c>
      <c r="F92" s="66" t="s">
        <v>171</v>
      </c>
      <c r="G92" s="398" t="s">
        <v>169</v>
      </c>
      <c r="H92" s="399"/>
      <c r="I92" s="399"/>
      <c r="J92" s="400"/>
      <c r="K92" s="159" t="s">
        <v>43</v>
      </c>
      <c r="L92" s="75" t="s">
        <v>98</v>
      </c>
      <c r="M92" s="55"/>
      <c r="N92" s="76" t="s">
        <v>37</v>
      </c>
      <c r="O92" s="355"/>
      <c r="P92" s="356"/>
      <c r="Q92" s="58"/>
      <c r="R92" s="103"/>
      <c r="S92" s="73"/>
      <c r="T92" s="143"/>
      <c r="U92" s="58"/>
      <c r="V92" s="141"/>
      <c r="W92" s="71"/>
    </row>
    <row r="93" spans="2:23" ht="24.95" customHeight="1" thickBot="1">
      <c r="B93" s="52">
        <f t="shared" si="1"/>
        <v>82</v>
      </c>
      <c r="C93" s="388" t="s">
        <v>172</v>
      </c>
      <c r="D93" s="53">
        <v>1</v>
      </c>
      <c r="E93" s="102">
        <v>495028</v>
      </c>
      <c r="F93" s="66" t="s">
        <v>173</v>
      </c>
      <c r="G93" s="376" t="s">
        <v>174</v>
      </c>
      <c r="H93" s="377"/>
      <c r="I93" s="377"/>
      <c r="J93" s="378"/>
      <c r="K93" s="66" t="s">
        <v>175</v>
      </c>
      <c r="L93" s="93" t="s">
        <v>39</v>
      </c>
      <c r="M93" s="55"/>
      <c r="N93" s="56" t="s">
        <v>37</v>
      </c>
      <c r="O93" s="353"/>
      <c r="P93" s="354"/>
      <c r="Q93" s="53"/>
      <c r="R93" s="93"/>
      <c r="S93" s="91"/>
      <c r="T93" s="147"/>
      <c r="U93" s="58"/>
      <c r="V93" s="141"/>
      <c r="W93" s="71"/>
    </row>
    <row r="94" spans="2:23" ht="24.95" customHeight="1" thickBot="1">
      <c r="B94" s="57">
        <f t="shared" si="1"/>
        <v>83</v>
      </c>
      <c r="C94" s="389"/>
      <c r="D94" s="53">
        <v>2</v>
      </c>
      <c r="E94" s="59">
        <v>495029</v>
      </c>
      <c r="F94" s="66" t="s">
        <v>176</v>
      </c>
      <c r="G94" s="364" t="s">
        <v>177</v>
      </c>
      <c r="H94" s="365"/>
      <c r="I94" s="365"/>
      <c r="J94" s="366"/>
      <c r="K94" s="159" t="s">
        <v>178</v>
      </c>
      <c r="L94" s="70" t="s">
        <v>39</v>
      </c>
      <c r="M94" s="61"/>
      <c r="N94" s="62" t="s">
        <v>37</v>
      </c>
      <c r="O94" s="351"/>
      <c r="P94" s="352"/>
      <c r="Q94" s="58"/>
      <c r="R94" s="70"/>
      <c r="S94" s="69"/>
      <c r="T94" s="142"/>
      <c r="U94" s="58"/>
      <c r="V94" s="141"/>
      <c r="W94" s="71"/>
    </row>
    <row r="95" spans="2:23" ht="24.95" customHeight="1" thickBot="1">
      <c r="B95" s="57">
        <f t="shared" si="1"/>
        <v>84</v>
      </c>
      <c r="C95" s="389"/>
      <c r="D95" s="53">
        <v>1</v>
      </c>
      <c r="E95" s="59">
        <v>495030</v>
      </c>
      <c r="F95" s="66" t="s">
        <v>179</v>
      </c>
      <c r="G95" s="364" t="s">
        <v>180</v>
      </c>
      <c r="H95" s="365"/>
      <c r="I95" s="365"/>
      <c r="J95" s="366"/>
      <c r="K95" s="66" t="s">
        <v>178</v>
      </c>
      <c r="L95" s="70" t="s">
        <v>39</v>
      </c>
      <c r="M95" s="61"/>
      <c r="N95" s="62" t="s">
        <v>37</v>
      </c>
      <c r="O95" s="351"/>
      <c r="P95" s="352"/>
      <c r="Q95" s="58"/>
      <c r="R95" s="70"/>
      <c r="S95" s="69"/>
      <c r="T95" s="142"/>
      <c r="U95" s="58"/>
      <c r="V95" s="141"/>
      <c r="W95" s="71"/>
    </row>
    <row r="96" spans="2:23" ht="24.95" customHeight="1" thickBot="1">
      <c r="B96" s="57">
        <f t="shared" si="1"/>
        <v>85</v>
      </c>
      <c r="C96" s="390"/>
      <c r="D96" s="53">
        <v>1</v>
      </c>
      <c r="E96" s="64">
        <v>495021</v>
      </c>
      <c r="F96" s="66" t="s">
        <v>181</v>
      </c>
      <c r="G96" s="364" t="s">
        <v>182</v>
      </c>
      <c r="H96" s="365"/>
      <c r="I96" s="365"/>
      <c r="J96" s="365"/>
      <c r="K96" s="159" t="s">
        <v>178</v>
      </c>
      <c r="L96" s="61" t="s">
        <v>98</v>
      </c>
      <c r="M96" s="61"/>
      <c r="N96" s="62" t="s">
        <v>37</v>
      </c>
      <c r="O96" s="351"/>
      <c r="P96" s="352"/>
      <c r="Q96" s="61"/>
      <c r="R96" s="61"/>
      <c r="S96" s="58"/>
      <c r="T96" s="141"/>
      <c r="U96" s="58"/>
      <c r="V96" s="141"/>
      <c r="W96" s="71"/>
    </row>
    <row r="97" spans="2:23" ht="24.95" customHeight="1" thickBot="1">
      <c r="B97" s="72">
        <f t="shared" si="1"/>
        <v>86</v>
      </c>
      <c r="C97" s="391"/>
      <c r="D97" s="53">
        <v>1</v>
      </c>
      <c r="E97" s="107">
        <v>496815</v>
      </c>
      <c r="F97" s="194" t="s">
        <v>183</v>
      </c>
      <c r="G97" s="410" t="s">
        <v>184</v>
      </c>
      <c r="H97" s="411"/>
      <c r="I97" s="411"/>
      <c r="J97" s="412"/>
      <c r="K97" s="159" t="s">
        <v>178</v>
      </c>
      <c r="L97" s="99" t="s">
        <v>98</v>
      </c>
      <c r="M97" s="99"/>
      <c r="N97" s="100" t="s">
        <v>37</v>
      </c>
      <c r="O97" s="355"/>
      <c r="P97" s="356"/>
      <c r="Q97" s="97"/>
      <c r="R97" s="99"/>
      <c r="S97" s="97"/>
      <c r="T97" s="146"/>
      <c r="U97" s="58"/>
      <c r="V97" s="141"/>
      <c r="W97" s="71"/>
    </row>
    <row r="98" spans="2:23" ht="24.95" customHeight="1" thickBot="1">
      <c r="B98" s="52">
        <f t="shared" si="1"/>
        <v>87</v>
      </c>
      <c r="C98" s="361" t="s">
        <v>185</v>
      </c>
      <c r="D98" s="53">
        <v>0</v>
      </c>
      <c r="E98" s="102">
        <v>495018</v>
      </c>
      <c r="F98" s="66"/>
      <c r="G98" s="376" t="s">
        <v>186</v>
      </c>
      <c r="H98" s="377"/>
      <c r="I98" s="377"/>
      <c r="J98" s="378"/>
      <c r="K98" s="159"/>
      <c r="L98" s="93"/>
      <c r="M98" s="55"/>
      <c r="N98" s="56" t="s">
        <v>37</v>
      </c>
      <c r="O98" s="353"/>
      <c r="P98" s="354"/>
      <c r="Q98" s="53"/>
      <c r="R98" s="93"/>
      <c r="S98" s="91"/>
      <c r="T98" s="147"/>
      <c r="U98" s="58"/>
      <c r="V98" s="141"/>
      <c r="W98" s="94"/>
    </row>
    <row r="99" spans="2:23" ht="24.95" customHeight="1" thickBot="1">
      <c r="B99" s="57">
        <f t="shared" si="1"/>
        <v>88</v>
      </c>
      <c r="C99" s="362"/>
      <c r="D99" s="53">
        <v>0</v>
      </c>
      <c r="E99" s="59">
        <v>495019</v>
      </c>
      <c r="F99" s="66"/>
      <c r="G99" s="364" t="s">
        <v>187</v>
      </c>
      <c r="H99" s="365"/>
      <c r="I99" s="365"/>
      <c r="J99" s="366"/>
      <c r="K99" s="159" t="s">
        <v>37</v>
      </c>
      <c r="L99" s="70"/>
      <c r="M99" s="61"/>
      <c r="N99" s="62" t="s">
        <v>37</v>
      </c>
      <c r="O99" s="351"/>
      <c r="P99" s="352"/>
      <c r="Q99" s="58"/>
      <c r="R99" s="70"/>
      <c r="S99" s="69"/>
      <c r="T99" s="142"/>
      <c r="U99" s="58"/>
      <c r="V99" s="141"/>
      <c r="W99" s="71"/>
    </row>
    <row r="100" spans="2:23" ht="32.25" thickBot="1">
      <c r="B100" s="57">
        <f t="shared" si="1"/>
        <v>89</v>
      </c>
      <c r="C100" s="362"/>
      <c r="D100" s="53">
        <v>112</v>
      </c>
      <c r="E100" s="59">
        <v>495025</v>
      </c>
      <c r="F100" s="66" t="s">
        <v>188</v>
      </c>
      <c r="G100" s="364" t="s">
        <v>189</v>
      </c>
      <c r="H100" s="365"/>
      <c r="I100" s="365"/>
      <c r="J100" s="366"/>
      <c r="K100" s="159" t="s">
        <v>37</v>
      </c>
      <c r="L100" s="70"/>
      <c r="M100" s="61"/>
      <c r="N100" s="62" t="s">
        <v>37</v>
      </c>
      <c r="O100" s="351"/>
      <c r="P100" s="352"/>
      <c r="Q100" s="63"/>
      <c r="R100" s="68"/>
      <c r="S100" s="69"/>
      <c r="T100" s="142"/>
      <c r="U100" s="58"/>
      <c r="V100" s="141"/>
      <c r="W100" s="108" t="s">
        <v>190</v>
      </c>
    </row>
    <row r="101" spans="2:23" ht="24.95" customHeight="1" thickBot="1">
      <c r="B101" s="57">
        <f t="shared" si="1"/>
        <v>90</v>
      </c>
      <c r="C101" s="362"/>
      <c r="D101" s="53">
        <v>0</v>
      </c>
      <c r="E101" s="59">
        <v>495026</v>
      </c>
      <c r="F101" s="66"/>
      <c r="G101" s="364" t="s">
        <v>191</v>
      </c>
      <c r="H101" s="365"/>
      <c r="I101" s="365"/>
      <c r="J101" s="366"/>
      <c r="K101" s="66" t="s">
        <v>37</v>
      </c>
      <c r="L101" s="70"/>
      <c r="M101" s="61"/>
      <c r="N101" s="62" t="s">
        <v>37</v>
      </c>
      <c r="O101" s="351"/>
      <c r="P101" s="352"/>
      <c r="Q101" s="58"/>
      <c r="R101" s="70"/>
      <c r="S101" s="69"/>
      <c r="T101" s="142"/>
      <c r="U101" s="58"/>
      <c r="V101" s="141"/>
      <c r="W101" s="71"/>
    </row>
    <row r="102" spans="2:23" ht="24.95" customHeight="1" thickBot="1">
      <c r="B102" s="57">
        <f t="shared" si="1"/>
        <v>91</v>
      </c>
      <c r="C102" s="362"/>
      <c r="D102" s="53">
        <v>1</v>
      </c>
      <c r="E102" s="59">
        <v>495047</v>
      </c>
      <c r="F102" s="66" t="s">
        <v>192</v>
      </c>
      <c r="G102" s="379" t="s">
        <v>193</v>
      </c>
      <c r="H102" s="380"/>
      <c r="I102" s="380"/>
      <c r="J102" s="381"/>
      <c r="K102" s="66" t="s">
        <v>37</v>
      </c>
      <c r="L102" s="70"/>
      <c r="M102" s="61"/>
      <c r="N102" s="62" t="s">
        <v>37</v>
      </c>
      <c r="O102" s="351"/>
      <c r="P102" s="352"/>
      <c r="Q102" s="63"/>
      <c r="R102" s="163"/>
      <c r="S102" s="69"/>
      <c r="T102" s="142"/>
      <c r="U102" s="58"/>
      <c r="V102" s="141"/>
      <c r="W102" s="71" t="s">
        <v>194</v>
      </c>
    </row>
    <row r="103" spans="2:23" ht="15.75">
      <c r="B103" s="72">
        <f t="shared" si="1"/>
        <v>92</v>
      </c>
      <c r="C103" s="363"/>
      <c r="D103" s="53">
        <v>2</v>
      </c>
      <c r="E103" s="74">
        <v>495048</v>
      </c>
      <c r="F103" s="192" t="s">
        <v>195</v>
      </c>
      <c r="G103" s="398" t="s">
        <v>196</v>
      </c>
      <c r="H103" s="399"/>
      <c r="I103" s="399"/>
      <c r="J103" s="400"/>
      <c r="K103" s="66" t="s">
        <v>117</v>
      </c>
      <c r="L103" s="75" t="s">
        <v>39</v>
      </c>
      <c r="M103" s="75"/>
      <c r="N103" s="76" t="s">
        <v>37</v>
      </c>
      <c r="O103" s="355"/>
      <c r="P103" s="356"/>
      <c r="Q103" s="63"/>
      <c r="R103" s="68"/>
      <c r="S103" s="73"/>
      <c r="T103" s="143"/>
      <c r="U103" s="58"/>
      <c r="V103" s="141"/>
      <c r="W103" s="108"/>
    </row>
    <row r="104" spans="2:23" ht="24.95" customHeight="1" thickBot="1">
      <c r="B104" s="52">
        <f t="shared" si="1"/>
        <v>93</v>
      </c>
      <c r="C104" s="361" t="s">
        <v>197</v>
      </c>
      <c r="D104" s="53"/>
      <c r="E104" s="102">
        <v>495044</v>
      </c>
      <c r="F104" s="66"/>
      <c r="G104" s="376" t="s">
        <v>198</v>
      </c>
      <c r="H104" s="377"/>
      <c r="I104" s="377"/>
      <c r="J104" s="378"/>
      <c r="K104" s="159"/>
      <c r="L104" s="93"/>
      <c r="M104" s="55"/>
      <c r="N104" s="56" t="s">
        <v>37</v>
      </c>
      <c r="O104" s="353"/>
      <c r="P104" s="354"/>
      <c r="Q104" s="53"/>
      <c r="R104" s="93"/>
      <c r="S104" s="91"/>
      <c r="T104" s="147"/>
      <c r="U104" s="58"/>
      <c r="V104" s="141"/>
      <c r="W104" s="94"/>
    </row>
    <row r="105" spans="2:23" ht="24.95" customHeight="1" thickBot="1">
      <c r="B105" s="57">
        <f t="shared" si="1"/>
        <v>94</v>
      </c>
      <c r="C105" s="362"/>
      <c r="D105" s="53">
        <v>0</v>
      </c>
      <c r="E105" s="59">
        <v>495045</v>
      </c>
      <c r="F105" s="66"/>
      <c r="G105" s="364" t="s">
        <v>199</v>
      </c>
      <c r="H105" s="365"/>
      <c r="I105" s="365"/>
      <c r="J105" s="366"/>
      <c r="K105" s="159"/>
      <c r="L105" s="70"/>
      <c r="M105" s="61"/>
      <c r="N105" s="62" t="s">
        <v>37</v>
      </c>
      <c r="O105" s="351"/>
      <c r="P105" s="352"/>
      <c r="Q105" s="58"/>
      <c r="R105" s="70"/>
      <c r="S105" s="69"/>
      <c r="T105" s="142"/>
      <c r="U105" s="58"/>
      <c r="V105" s="141"/>
      <c r="W105" s="71"/>
    </row>
    <row r="106" spans="2:23" ht="24.95" customHeight="1" thickBot="1">
      <c r="B106" s="57">
        <f t="shared" si="1"/>
        <v>95</v>
      </c>
      <c r="C106" s="362"/>
      <c r="D106" s="53">
        <v>2</v>
      </c>
      <c r="E106" s="59">
        <v>495046</v>
      </c>
      <c r="F106" s="66"/>
      <c r="G106" s="364" t="s">
        <v>200</v>
      </c>
      <c r="H106" s="365"/>
      <c r="I106" s="365"/>
      <c r="J106" s="366"/>
      <c r="K106" s="159" t="s">
        <v>43</v>
      </c>
      <c r="L106" s="70" t="s">
        <v>39</v>
      </c>
      <c r="M106" s="61"/>
      <c r="N106" s="62" t="s">
        <v>37</v>
      </c>
      <c r="O106" s="351"/>
      <c r="P106" s="352"/>
      <c r="Q106" s="58"/>
      <c r="R106" s="70"/>
      <c r="S106" s="69"/>
      <c r="T106" s="142"/>
      <c r="U106" s="58"/>
      <c r="V106" s="141"/>
      <c r="W106" s="71" t="s">
        <v>201</v>
      </c>
    </row>
    <row r="107" spans="2:23" ht="24.95" customHeight="1" thickBot="1">
      <c r="B107" s="57">
        <f t="shared" si="1"/>
        <v>96</v>
      </c>
      <c r="C107" s="362"/>
      <c r="D107" s="53">
        <v>1</v>
      </c>
      <c r="E107" s="59">
        <v>497339</v>
      </c>
      <c r="F107" s="66" t="s">
        <v>202</v>
      </c>
      <c r="G107" s="364" t="s">
        <v>203</v>
      </c>
      <c r="H107" s="365"/>
      <c r="I107" s="365"/>
      <c r="J107" s="366"/>
      <c r="K107" s="66" t="s">
        <v>204</v>
      </c>
      <c r="L107" s="70" t="s">
        <v>39</v>
      </c>
      <c r="M107" s="61"/>
      <c r="N107" s="62" t="s">
        <v>37</v>
      </c>
      <c r="O107" s="351"/>
      <c r="P107" s="352"/>
      <c r="Q107" s="63"/>
      <c r="R107" s="68"/>
      <c r="S107" s="69"/>
      <c r="T107" s="142"/>
      <c r="U107" s="58"/>
      <c r="V107" s="141"/>
      <c r="W107" s="71" t="s">
        <v>205</v>
      </c>
    </row>
    <row r="108" spans="2:23" ht="24.95" customHeight="1" thickBot="1">
      <c r="B108" s="57">
        <f t="shared" si="1"/>
        <v>97</v>
      </c>
      <c r="C108" s="362"/>
      <c r="D108" s="53">
        <v>1</v>
      </c>
      <c r="E108" s="59">
        <v>497340</v>
      </c>
      <c r="F108" s="66" t="s">
        <v>206</v>
      </c>
      <c r="G108" s="364" t="s">
        <v>207</v>
      </c>
      <c r="H108" s="365"/>
      <c r="I108" s="365"/>
      <c r="J108" s="366"/>
      <c r="K108" s="159" t="s">
        <v>204</v>
      </c>
      <c r="L108" s="70" t="s">
        <v>39</v>
      </c>
      <c r="M108" s="61"/>
      <c r="N108" s="62" t="s">
        <v>37</v>
      </c>
      <c r="O108" s="351"/>
      <c r="P108" s="352"/>
      <c r="Q108" s="63"/>
      <c r="R108" s="68"/>
      <c r="S108" s="69"/>
      <c r="T108" s="142"/>
      <c r="U108" s="58"/>
      <c r="V108" s="141"/>
      <c r="W108" s="71" t="s">
        <v>208</v>
      </c>
    </row>
    <row r="109" spans="2:23" ht="24.95" customHeight="1" thickBot="1">
      <c r="B109" s="57">
        <f t="shared" si="1"/>
        <v>98</v>
      </c>
      <c r="C109" s="362"/>
      <c r="D109" s="53">
        <v>2</v>
      </c>
      <c r="E109" s="59">
        <v>497341</v>
      </c>
      <c r="F109" s="66" t="s">
        <v>209</v>
      </c>
      <c r="G109" s="364" t="s">
        <v>210</v>
      </c>
      <c r="H109" s="365"/>
      <c r="I109" s="365"/>
      <c r="J109" s="366"/>
      <c r="K109" s="66" t="s">
        <v>101</v>
      </c>
      <c r="L109" s="70"/>
      <c r="M109" s="61"/>
      <c r="N109" s="62" t="s">
        <v>37</v>
      </c>
      <c r="O109" s="351"/>
      <c r="P109" s="352"/>
      <c r="Q109" s="63"/>
      <c r="R109" s="68"/>
      <c r="S109" s="69"/>
      <c r="T109" s="142"/>
      <c r="U109" s="58"/>
      <c r="V109" s="141"/>
      <c r="W109" s="71" t="s">
        <v>211</v>
      </c>
    </row>
    <row r="110" spans="2:23" ht="24.95" customHeight="1" thickBot="1">
      <c r="B110" s="72">
        <f t="shared" si="1"/>
        <v>99</v>
      </c>
      <c r="C110" s="363"/>
      <c r="D110" s="53">
        <v>1</v>
      </c>
      <c r="E110" s="74">
        <v>497345</v>
      </c>
      <c r="F110" s="66" t="s">
        <v>212</v>
      </c>
      <c r="G110" s="398" t="s">
        <v>213</v>
      </c>
      <c r="H110" s="399"/>
      <c r="I110" s="399"/>
      <c r="J110" s="400"/>
      <c r="K110" s="66" t="s">
        <v>101</v>
      </c>
      <c r="L110" s="75"/>
      <c r="M110" s="75"/>
      <c r="N110" s="76" t="s">
        <v>37</v>
      </c>
      <c r="O110" s="355"/>
      <c r="P110" s="356"/>
      <c r="Q110" s="118"/>
      <c r="R110" s="187"/>
      <c r="S110" s="73"/>
      <c r="T110" s="143"/>
      <c r="U110" s="58"/>
      <c r="V110" s="141"/>
      <c r="W110" s="71" t="s">
        <v>211</v>
      </c>
    </row>
    <row r="111" spans="2:23" ht="24.95" customHeight="1" thickBot="1">
      <c r="B111" s="77">
        <f t="shared" si="1"/>
        <v>100</v>
      </c>
      <c r="C111" s="362" t="s">
        <v>214</v>
      </c>
      <c r="D111" s="53">
        <v>1</v>
      </c>
      <c r="E111" s="79">
        <v>495049</v>
      </c>
      <c r="F111" s="66" t="s">
        <v>215</v>
      </c>
      <c r="G111" s="401" t="s">
        <v>216</v>
      </c>
      <c r="H111" s="402"/>
      <c r="I111" s="402"/>
      <c r="J111" s="403"/>
      <c r="K111" s="66" t="s">
        <v>101</v>
      </c>
      <c r="L111" s="86" t="s">
        <v>98</v>
      </c>
      <c r="M111" s="80"/>
      <c r="N111" s="81" t="s">
        <v>37</v>
      </c>
      <c r="O111" s="359"/>
      <c r="P111" s="360"/>
      <c r="Q111" s="78"/>
      <c r="R111" s="105"/>
      <c r="S111" s="85"/>
      <c r="T111" s="147"/>
      <c r="U111" s="58"/>
      <c r="V111" s="141"/>
      <c r="W111" s="71"/>
    </row>
    <row r="112" spans="2:23" ht="24.95" customHeight="1" thickBot="1">
      <c r="B112" s="57">
        <f t="shared" si="1"/>
        <v>101</v>
      </c>
      <c r="C112" s="362"/>
      <c r="D112" s="53">
        <v>0</v>
      </c>
      <c r="E112" s="64">
        <v>495050</v>
      </c>
      <c r="F112" s="66" t="s">
        <v>37</v>
      </c>
      <c r="G112" s="379" t="s">
        <v>217</v>
      </c>
      <c r="H112" s="380"/>
      <c r="I112" s="380"/>
      <c r="J112" s="381"/>
      <c r="K112" s="66"/>
      <c r="L112" s="61"/>
      <c r="M112" s="61"/>
      <c r="N112" s="62" t="e">
        <f>'Controle de Eslingas'!#REF!</f>
        <v>#REF!</v>
      </c>
      <c r="O112" s="351"/>
      <c r="P112" s="352"/>
      <c r="Q112" s="58"/>
      <c r="R112" s="61"/>
      <c r="S112" s="58"/>
      <c r="T112" s="141"/>
      <c r="U112" s="58"/>
      <c r="V112" s="141"/>
      <c r="W112" s="150"/>
    </row>
    <row r="113" spans="2:23" ht="24.95" customHeight="1" thickBot="1">
      <c r="B113" s="57">
        <f t="shared" si="1"/>
        <v>102</v>
      </c>
      <c r="C113" s="362"/>
      <c r="D113" s="53">
        <v>1</v>
      </c>
      <c r="E113" s="79">
        <v>495051</v>
      </c>
      <c r="F113" s="66" t="s">
        <v>218</v>
      </c>
      <c r="G113" s="379" t="s">
        <v>219</v>
      </c>
      <c r="H113" s="380"/>
      <c r="I113" s="380"/>
      <c r="J113" s="381"/>
      <c r="K113" s="159" t="s">
        <v>78</v>
      </c>
      <c r="L113" s="86"/>
      <c r="M113" s="80"/>
      <c r="N113" s="81" t="e">
        <f>'Controle de Eslingas'!#REF!</f>
        <v>#REF!</v>
      </c>
      <c r="O113" s="351"/>
      <c r="P113" s="352"/>
      <c r="Q113" s="78"/>
      <c r="R113" s="86"/>
      <c r="S113" s="85"/>
      <c r="T113" s="141"/>
      <c r="U113" s="58"/>
      <c r="V113" s="141"/>
      <c r="W113" s="71"/>
    </row>
    <row r="114" spans="2:23" ht="24.95" customHeight="1" thickBot="1">
      <c r="B114" s="57">
        <f t="shared" si="1"/>
        <v>103</v>
      </c>
      <c r="C114" s="362"/>
      <c r="D114" s="53">
        <v>0</v>
      </c>
      <c r="E114" s="59">
        <v>495052</v>
      </c>
      <c r="F114" s="66" t="s">
        <v>37</v>
      </c>
      <c r="G114" s="364" t="s">
        <v>220</v>
      </c>
      <c r="H114" s="365"/>
      <c r="I114" s="365"/>
      <c r="J114" s="366"/>
      <c r="K114" s="159"/>
      <c r="L114" s="70"/>
      <c r="M114" s="61"/>
      <c r="N114" s="62" t="s">
        <v>37</v>
      </c>
      <c r="O114" s="351"/>
      <c r="P114" s="352"/>
      <c r="Q114" s="58"/>
      <c r="R114" s="70"/>
      <c r="S114" s="69"/>
      <c r="T114" s="145"/>
      <c r="U114" s="58"/>
      <c r="V114" s="141"/>
      <c r="W114" s="71"/>
    </row>
    <row r="115" spans="2:23" ht="24.95" customHeight="1" thickBot="1">
      <c r="B115" s="57">
        <f t="shared" si="1"/>
        <v>104</v>
      </c>
      <c r="C115" s="362"/>
      <c r="D115" s="53">
        <v>0</v>
      </c>
      <c r="E115" s="59">
        <v>495053</v>
      </c>
      <c r="F115" s="66" t="s">
        <v>37</v>
      </c>
      <c r="G115" s="379" t="s">
        <v>221</v>
      </c>
      <c r="H115" s="380"/>
      <c r="I115" s="380"/>
      <c r="J115" s="381"/>
      <c r="K115" s="66"/>
      <c r="L115" s="70"/>
      <c r="M115" s="61"/>
      <c r="N115" s="62" t="e">
        <f>'Controle de Eslingas'!#REF!</f>
        <v>#REF!</v>
      </c>
      <c r="O115" s="351"/>
      <c r="P115" s="352"/>
      <c r="Q115" s="58"/>
      <c r="R115" s="70"/>
      <c r="S115" s="69"/>
      <c r="T115" s="142"/>
      <c r="U115" s="58"/>
      <c r="V115" s="141"/>
      <c r="W115" s="71"/>
    </row>
    <row r="116" spans="2:23" ht="24.95" customHeight="1" thickBot="1">
      <c r="B116" s="57">
        <f t="shared" si="1"/>
        <v>105</v>
      </c>
      <c r="C116" s="362"/>
      <c r="D116" s="53">
        <v>1</v>
      </c>
      <c r="E116" s="59">
        <v>495054</v>
      </c>
      <c r="F116" s="66" t="s">
        <v>222</v>
      </c>
      <c r="G116" s="364" t="s">
        <v>223</v>
      </c>
      <c r="H116" s="365"/>
      <c r="I116" s="365"/>
      <c r="J116" s="366"/>
      <c r="K116" s="159" t="s">
        <v>46</v>
      </c>
      <c r="L116" s="70" t="s">
        <v>39</v>
      </c>
      <c r="M116" s="61"/>
      <c r="N116" s="62" t="s">
        <v>37</v>
      </c>
      <c r="O116" s="351"/>
      <c r="P116" s="352"/>
      <c r="Q116" s="63"/>
      <c r="R116" s="68"/>
      <c r="S116" s="69"/>
      <c r="T116" s="142"/>
      <c r="U116" s="58"/>
      <c r="V116" s="141"/>
      <c r="W116" s="71"/>
    </row>
    <row r="117" spans="2:23" ht="24.95" customHeight="1" thickBot="1">
      <c r="B117" s="57">
        <f t="shared" si="1"/>
        <v>106</v>
      </c>
      <c r="C117" s="362"/>
      <c r="D117" s="53">
        <v>0</v>
      </c>
      <c r="E117" s="59">
        <v>495055</v>
      </c>
      <c r="F117" s="66" t="s">
        <v>37</v>
      </c>
      <c r="G117" s="379" t="s">
        <v>224</v>
      </c>
      <c r="H117" s="380"/>
      <c r="I117" s="380"/>
      <c r="J117" s="381"/>
      <c r="K117" s="66"/>
      <c r="L117" s="70"/>
      <c r="M117" s="61"/>
      <c r="N117" s="62" t="e">
        <f>'Controle de Eslingas'!#REF!</f>
        <v>#REF!</v>
      </c>
      <c r="O117" s="351"/>
      <c r="P117" s="352"/>
      <c r="Q117" s="58"/>
      <c r="R117" s="70"/>
      <c r="S117" s="69"/>
      <c r="T117" s="142"/>
      <c r="U117" s="58"/>
      <c r="V117" s="141"/>
      <c r="W117" s="71"/>
    </row>
    <row r="118" spans="2:23" ht="24.95" customHeight="1" thickBot="1">
      <c r="B118" s="57">
        <f t="shared" si="1"/>
        <v>107</v>
      </c>
      <c r="C118" s="362"/>
      <c r="D118" s="53">
        <v>1</v>
      </c>
      <c r="E118" s="59">
        <v>495056</v>
      </c>
      <c r="F118" s="66" t="s">
        <v>225</v>
      </c>
      <c r="G118" s="364" t="s">
        <v>226</v>
      </c>
      <c r="H118" s="365"/>
      <c r="I118" s="365"/>
      <c r="J118" s="366"/>
      <c r="K118" s="66" t="s">
        <v>227</v>
      </c>
      <c r="L118" s="70"/>
      <c r="M118" s="61"/>
      <c r="N118" s="62" t="s">
        <v>37</v>
      </c>
      <c r="O118" s="351"/>
      <c r="P118" s="352"/>
      <c r="Q118" s="63"/>
      <c r="R118" s="68"/>
      <c r="S118" s="69"/>
      <c r="T118" s="142"/>
      <c r="U118" s="58"/>
      <c r="V118" s="141"/>
      <c r="W118" s="71" t="s">
        <v>228</v>
      </c>
    </row>
    <row r="119" spans="2:23" ht="24.95" customHeight="1" thickBot="1">
      <c r="B119" s="57">
        <f t="shared" si="1"/>
        <v>108</v>
      </c>
      <c r="C119" s="362"/>
      <c r="D119" s="53">
        <v>1</v>
      </c>
      <c r="E119" s="59" t="s">
        <v>37</v>
      </c>
      <c r="F119" s="66">
        <v>20348</v>
      </c>
      <c r="G119" s="364" t="s">
        <v>229</v>
      </c>
      <c r="H119" s="365"/>
      <c r="I119" s="365"/>
      <c r="J119" s="366"/>
      <c r="K119" s="66" t="s">
        <v>227</v>
      </c>
      <c r="L119" s="70"/>
      <c r="M119" s="61"/>
      <c r="N119" s="62" t="s">
        <v>37</v>
      </c>
      <c r="O119" s="351"/>
      <c r="P119" s="352"/>
      <c r="Q119" s="63"/>
      <c r="R119" s="68"/>
      <c r="S119" s="69"/>
      <c r="T119" s="142"/>
      <c r="U119" s="58"/>
      <c r="V119" s="141"/>
      <c r="W119" s="71" t="s">
        <v>228</v>
      </c>
    </row>
    <row r="120" spans="2:23" ht="16.5" thickBot="1">
      <c r="B120" s="57">
        <f t="shared" si="1"/>
        <v>109</v>
      </c>
      <c r="C120" s="362"/>
      <c r="D120" s="53">
        <v>1</v>
      </c>
      <c r="E120" s="59" t="s">
        <v>37</v>
      </c>
      <c r="F120" s="66" t="s">
        <v>230</v>
      </c>
      <c r="G120" s="364" t="s">
        <v>231</v>
      </c>
      <c r="H120" s="365"/>
      <c r="I120" s="365"/>
      <c r="J120" s="366"/>
      <c r="K120" s="66" t="s">
        <v>227</v>
      </c>
      <c r="L120" s="70"/>
      <c r="M120" s="61"/>
      <c r="N120" s="62" t="s">
        <v>37</v>
      </c>
      <c r="O120" s="351"/>
      <c r="P120" s="352"/>
      <c r="Q120" s="63"/>
      <c r="R120" s="68"/>
      <c r="S120" s="69"/>
      <c r="T120" s="142"/>
      <c r="U120" s="58"/>
      <c r="V120" s="141"/>
      <c r="W120" s="71" t="s">
        <v>228</v>
      </c>
    </row>
    <row r="121" spans="2:23" ht="24.95" customHeight="1" thickBot="1">
      <c r="B121" s="57">
        <f t="shared" si="1"/>
        <v>110</v>
      </c>
      <c r="C121" s="362"/>
      <c r="D121" s="53">
        <v>1</v>
      </c>
      <c r="E121" s="59">
        <v>495057</v>
      </c>
      <c r="F121" s="182" t="s">
        <v>232</v>
      </c>
      <c r="G121" s="379" t="s">
        <v>233</v>
      </c>
      <c r="H121" s="380"/>
      <c r="I121" s="380"/>
      <c r="J121" s="381"/>
      <c r="K121" s="66" t="s">
        <v>227</v>
      </c>
      <c r="L121" s="70"/>
      <c r="M121" s="61"/>
      <c r="N121" s="62" t="s">
        <v>37</v>
      </c>
      <c r="O121" s="351"/>
      <c r="P121" s="352"/>
      <c r="Q121" s="63"/>
      <c r="R121" s="68"/>
      <c r="S121" s="69"/>
      <c r="T121" s="142"/>
      <c r="U121" s="58"/>
      <c r="V121" s="141"/>
      <c r="W121" s="71" t="s">
        <v>228</v>
      </c>
    </row>
    <row r="122" spans="2:23" ht="24.95" customHeight="1" thickBot="1">
      <c r="B122" s="57">
        <f t="shared" si="1"/>
        <v>111</v>
      </c>
      <c r="C122" s="362"/>
      <c r="D122" s="53">
        <v>0</v>
      </c>
      <c r="E122" s="59">
        <v>495058</v>
      </c>
      <c r="F122" s="66" t="s">
        <v>37</v>
      </c>
      <c r="G122" s="364" t="s">
        <v>234</v>
      </c>
      <c r="H122" s="365"/>
      <c r="I122" s="365"/>
      <c r="J122" s="366"/>
      <c r="K122" s="66"/>
      <c r="L122" s="70"/>
      <c r="M122" s="61"/>
      <c r="N122" s="62" t="s">
        <v>37</v>
      </c>
      <c r="O122" s="351"/>
      <c r="P122" s="352"/>
      <c r="Q122" s="63"/>
      <c r="R122" s="68"/>
      <c r="S122" s="69"/>
      <c r="T122" s="142"/>
      <c r="U122" s="58"/>
      <c r="V122" s="141"/>
      <c r="W122" s="71"/>
    </row>
    <row r="123" spans="2:23" ht="24.95" customHeight="1" thickBot="1">
      <c r="B123" s="57">
        <f t="shared" si="1"/>
        <v>112</v>
      </c>
      <c r="C123" s="362"/>
      <c r="D123" s="53">
        <v>0</v>
      </c>
      <c r="E123" s="59">
        <v>495059</v>
      </c>
      <c r="F123" s="66" t="s">
        <v>37</v>
      </c>
      <c r="G123" s="364" t="s">
        <v>235</v>
      </c>
      <c r="H123" s="365"/>
      <c r="I123" s="365"/>
      <c r="J123" s="366"/>
      <c r="K123" s="66"/>
      <c r="L123" s="70"/>
      <c r="M123" s="61"/>
      <c r="N123" s="62" t="s">
        <v>37</v>
      </c>
      <c r="O123" s="351"/>
      <c r="P123" s="352"/>
      <c r="Q123" s="58"/>
      <c r="R123" s="70"/>
      <c r="S123" s="69"/>
      <c r="T123" s="142"/>
      <c r="U123" s="58"/>
      <c r="V123" s="141"/>
      <c r="W123" s="71"/>
    </row>
    <row r="124" spans="2:23" ht="24.95" customHeight="1" thickBot="1">
      <c r="B124" s="57">
        <f t="shared" si="1"/>
        <v>113</v>
      </c>
      <c r="C124" s="362"/>
      <c r="D124" s="53">
        <v>0</v>
      </c>
      <c r="E124" s="59" t="s">
        <v>37</v>
      </c>
      <c r="F124" s="66" t="s">
        <v>37</v>
      </c>
      <c r="G124" s="364" t="s">
        <v>236</v>
      </c>
      <c r="H124" s="365"/>
      <c r="I124" s="365"/>
      <c r="J124" s="366"/>
      <c r="K124" s="66"/>
      <c r="L124" s="70"/>
      <c r="M124" s="61"/>
      <c r="N124" s="62" t="s">
        <v>37</v>
      </c>
      <c r="O124" s="351"/>
      <c r="P124" s="352"/>
      <c r="Q124" s="58"/>
      <c r="R124" s="70"/>
      <c r="S124" s="69"/>
      <c r="T124" s="142"/>
      <c r="U124" s="58"/>
      <c r="V124" s="141"/>
      <c r="W124" s="71"/>
    </row>
    <row r="125" spans="2:23" ht="24.95" customHeight="1" thickBot="1">
      <c r="B125" s="57">
        <f t="shared" si="1"/>
        <v>114</v>
      </c>
      <c r="C125" s="362"/>
      <c r="D125" s="53">
        <v>0</v>
      </c>
      <c r="E125" s="59">
        <v>495060</v>
      </c>
      <c r="F125" s="66" t="s">
        <v>37</v>
      </c>
      <c r="G125" s="379" t="s">
        <v>237</v>
      </c>
      <c r="H125" s="380"/>
      <c r="I125" s="380"/>
      <c r="J125" s="381"/>
      <c r="K125" s="66"/>
      <c r="L125" s="70"/>
      <c r="M125" s="61"/>
      <c r="N125" s="62" t="e">
        <f>'Controle de Eslingas'!#REF!</f>
        <v>#REF!</v>
      </c>
      <c r="O125" s="351"/>
      <c r="P125" s="352"/>
      <c r="Q125" s="63"/>
      <c r="R125" s="68"/>
      <c r="S125" s="69"/>
      <c r="T125" s="142"/>
      <c r="U125" s="58"/>
      <c r="V125" s="141"/>
      <c r="W125" s="71"/>
    </row>
    <row r="126" spans="2:23" ht="24.95" customHeight="1" thickBot="1">
      <c r="B126" s="57">
        <f t="shared" si="1"/>
        <v>115</v>
      </c>
      <c r="C126" s="362"/>
      <c r="D126" s="53">
        <v>0</v>
      </c>
      <c r="E126" s="59">
        <v>495061</v>
      </c>
      <c r="F126" s="66" t="s">
        <v>37</v>
      </c>
      <c r="G126" s="364" t="s">
        <v>238</v>
      </c>
      <c r="H126" s="365"/>
      <c r="I126" s="365"/>
      <c r="J126" s="366"/>
      <c r="K126" s="66"/>
      <c r="L126" s="70"/>
      <c r="M126" s="61"/>
      <c r="N126" s="62" t="s">
        <v>37</v>
      </c>
      <c r="O126" s="351"/>
      <c r="P126" s="352"/>
      <c r="Q126" s="63"/>
      <c r="R126" s="68"/>
      <c r="S126" s="69"/>
      <c r="T126" s="142"/>
      <c r="U126" s="58"/>
      <c r="V126" s="141"/>
      <c r="W126" s="71"/>
    </row>
    <row r="127" spans="2:23" ht="24.95" customHeight="1" thickBot="1">
      <c r="B127" s="57">
        <f t="shared" si="1"/>
        <v>116</v>
      </c>
      <c r="C127" s="362"/>
      <c r="D127" s="53">
        <v>0</v>
      </c>
      <c r="E127" s="59" t="s">
        <v>37</v>
      </c>
      <c r="F127" s="66" t="s">
        <v>37</v>
      </c>
      <c r="G127" s="364" t="s">
        <v>239</v>
      </c>
      <c r="H127" s="365"/>
      <c r="I127" s="365"/>
      <c r="J127" s="366"/>
      <c r="K127" s="66"/>
      <c r="L127" s="70"/>
      <c r="M127" s="61"/>
      <c r="N127" s="62" t="s">
        <v>37</v>
      </c>
      <c r="O127" s="351"/>
      <c r="P127" s="352"/>
      <c r="Q127" s="58"/>
      <c r="R127" s="70"/>
      <c r="S127" s="69"/>
      <c r="T127" s="142"/>
      <c r="U127" s="58"/>
      <c r="V127" s="141"/>
      <c r="W127" s="71"/>
    </row>
    <row r="128" spans="2:23" ht="24.95" customHeight="1" thickBot="1">
      <c r="B128" s="57">
        <f t="shared" si="1"/>
        <v>117</v>
      </c>
      <c r="C128" s="362"/>
      <c r="D128" s="53">
        <v>0</v>
      </c>
      <c r="E128" s="59">
        <v>495065</v>
      </c>
      <c r="F128" s="66" t="s">
        <v>37</v>
      </c>
      <c r="G128" s="364" t="s">
        <v>240</v>
      </c>
      <c r="H128" s="365"/>
      <c r="I128" s="365"/>
      <c r="J128" s="366"/>
      <c r="K128" s="66"/>
      <c r="L128" s="70"/>
      <c r="M128" s="61"/>
      <c r="N128" s="62" t="s">
        <v>37</v>
      </c>
      <c r="O128" s="351"/>
      <c r="P128" s="352"/>
      <c r="Q128" s="63"/>
      <c r="R128" s="68"/>
      <c r="S128" s="69"/>
      <c r="T128" s="142"/>
      <c r="U128" s="58"/>
      <c r="V128" s="141"/>
      <c r="W128" s="71"/>
    </row>
    <row r="129" spans="2:23" ht="24.95" customHeight="1" thickBot="1">
      <c r="B129" s="57">
        <f t="shared" si="1"/>
        <v>118</v>
      </c>
      <c r="C129" s="362"/>
      <c r="D129" s="53"/>
      <c r="E129" s="59">
        <v>495062</v>
      </c>
      <c r="F129" s="66" t="s">
        <v>37</v>
      </c>
      <c r="G129" s="364" t="s">
        <v>241</v>
      </c>
      <c r="H129" s="365"/>
      <c r="I129" s="365"/>
      <c r="J129" s="366"/>
      <c r="K129" s="66"/>
      <c r="L129" s="70"/>
      <c r="M129" s="61"/>
      <c r="N129" s="62" t="s">
        <v>37</v>
      </c>
      <c r="O129" s="351"/>
      <c r="P129" s="352"/>
      <c r="Q129" s="58"/>
      <c r="R129" s="70"/>
      <c r="S129" s="69"/>
      <c r="T129" s="142"/>
      <c r="U129" s="58"/>
      <c r="V129" s="141"/>
      <c r="W129" s="71"/>
    </row>
    <row r="130" spans="2:23" ht="24.95" customHeight="1" thickBot="1">
      <c r="B130" s="57">
        <f t="shared" si="1"/>
        <v>119</v>
      </c>
      <c r="C130" s="362"/>
      <c r="D130" s="53">
        <v>2</v>
      </c>
      <c r="E130" s="59">
        <v>495064</v>
      </c>
      <c r="F130" s="66" t="s">
        <v>242</v>
      </c>
      <c r="G130" s="364" t="s">
        <v>243</v>
      </c>
      <c r="H130" s="365"/>
      <c r="I130" s="365"/>
      <c r="J130" s="366"/>
      <c r="K130" s="66" t="s">
        <v>204</v>
      </c>
      <c r="L130" s="70" t="s">
        <v>98</v>
      </c>
      <c r="M130" s="61"/>
      <c r="N130" s="62" t="s">
        <v>37</v>
      </c>
      <c r="O130" s="351"/>
      <c r="P130" s="352"/>
      <c r="Q130" s="58"/>
      <c r="R130" s="70"/>
      <c r="S130" s="69"/>
      <c r="T130" s="142"/>
      <c r="U130" s="58"/>
      <c r="V130" s="141"/>
      <c r="W130" s="71"/>
    </row>
    <row r="131" spans="2:23" ht="24.95" customHeight="1" thickBot="1">
      <c r="B131" s="57">
        <f t="shared" si="1"/>
        <v>120</v>
      </c>
      <c r="C131" s="362"/>
      <c r="D131" s="53">
        <v>0</v>
      </c>
      <c r="E131" s="59">
        <v>495068</v>
      </c>
      <c r="F131" s="66" t="s">
        <v>37</v>
      </c>
      <c r="G131" s="364" t="s">
        <v>244</v>
      </c>
      <c r="H131" s="365"/>
      <c r="I131" s="365"/>
      <c r="J131" s="366"/>
      <c r="K131" s="66"/>
      <c r="L131" s="70"/>
      <c r="M131" s="61"/>
      <c r="N131" s="62" t="s">
        <v>37</v>
      </c>
      <c r="O131" s="351"/>
      <c r="P131" s="352"/>
      <c r="Q131" s="58"/>
      <c r="R131" s="70"/>
      <c r="S131" s="69"/>
      <c r="T131" s="142"/>
      <c r="U131" s="58"/>
      <c r="V131" s="141"/>
      <c r="W131" s="71"/>
    </row>
    <row r="132" spans="2:23" ht="24.95" customHeight="1" thickBot="1">
      <c r="B132" s="57">
        <f t="shared" si="1"/>
        <v>121</v>
      </c>
      <c r="C132" s="362"/>
      <c r="D132" s="53">
        <v>0</v>
      </c>
      <c r="E132" s="59">
        <v>495063</v>
      </c>
      <c r="F132" s="66" t="s">
        <v>37</v>
      </c>
      <c r="G132" s="379" t="s">
        <v>245</v>
      </c>
      <c r="H132" s="380"/>
      <c r="I132" s="380"/>
      <c r="J132" s="381"/>
      <c r="K132" s="66"/>
      <c r="L132" s="70"/>
      <c r="M132" s="61"/>
      <c r="N132" s="62" t="e">
        <f>'Controle de Eslingas'!#REF!</f>
        <v>#REF!</v>
      </c>
      <c r="O132" s="351"/>
      <c r="P132" s="352"/>
      <c r="Q132" s="58"/>
      <c r="R132" s="70"/>
      <c r="S132" s="69"/>
      <c r="T132" s="142"/>
      <c r="U132" s="58"/>
      <c r="V132" s="141"/>
      <c r="W132" s="71"/>
    </row>
    <row r="133" spans="2:23" ht="24.95" customHeight="1" thickBot="1">
      <c r="B133" s="57">
        <f t="shared" si="1"/>
        <v>122</v>
      </c>
      <c r="C133" s="362"/>
      <c r="D133" s="53">
        <v>1</v>
      </c>
      <c r="E133" s="59">
        <v>495066</v>
      </c>
      <c r="F133" s="66" t="s">
        <v>246</v>
      </c>
      <c r="G133" s="364" t="s">
        <v>247</v>
      </c>
      <c r="H133" s="365"/>
      <c r="I133" s="365"/>
      <c r="J133" s="366"/>
      <c r="K133" s="66" t="s">
        <v>67</v>
      </c>
      <c r="L133" s="70" t="s">
        <v>248</v>
      </c>
      <c r="M133" s="61"/>
      <c r="N133" s="62" t="s">
        <v>37</v>
      </c>
      <c r="O133" s="351"/>
      <c r="P133" s="352"/>
      <c r="Q133" s="58"/>
      <c r="R133" s="70"/>
      <c r="S133" s="69"/>
      <c r="T133" s="142"/>
      <c r="U133" s="58"/>
      <c r="V133" s="141"/>
      <c r="W133" s="71"/>
    </row>
    <row r="134" spans="2:23" ht="24.95" customHeight="1" thickBot="1">
      <c r="B134" s="72">
        <f>IF(G134="","",1+B133)</f>
        <v>123</v>
      </c>
      <c r="C134" s="363"/>
      <c r="D134" s="53">
        <v>0</v>
      </c>
      <c r="E134" s="74">
        <v>495067</v>
      </c>
      <c r="F134" s="192" t="s">
        <v>37</v>
      </c>
      <c r="G134" s="392" t="s">
        <v>249</v>
      </c>
      <c r="H134" s="393"/>
      <c r="I134" s="393"/>
      <c r="J134" s="394"/>
      <c r="K134" s="66"/>
      <c r="L134" s="75"/>
      <c r="M134" s="75"/>
      <c r="N134" s="76" t="e">
        <f>'Controle de Eslingas'!#REF!</f>
        <v>#REF!</v>
      </c>
      <c r="O134" s="355"/>
      <c r="P134" s="356"/>
      <c r="Q134" s="73"/>
      <c r="R134" s="75"/>
      <c r="S134" s="73"/>
      <c r="T134" s="143"/>
      <c r="U134" s="143"/>
      <c r="V134" s="143"/>
      <c r="W134" s="151"/>
    </row>
    <row r="135" spans="2:23" ht="24.95" customHeight="1" thickBot="1">
      <c r="B135" s="72">
        <v>124</v>
      </c>
      <c r="C135" s="136"/>
      <c r="D135" s="53">
        <v>1</v>
      </c>
      <c r="E135" s="89">
        <v>495062</v>
      </c>
      <c r="F135" s="192" t="s">
        <v>250</v>
      </c>
      <c r="G135" s="323" t="s">
        <v>251</v>
      </c>
      <c r="H135" s="324"/>
      <c r="I135" s="324"/>
      <c r="J135" s="325"/>
      <c r="K135" s="66" t="s">
        <v>78</v>
      </c>
      <c r="L135" s="86"/>
      <c r="M135" s="99"/>
      <c r="N135" s="100"/>
      <c r="O135" s="137"/>
      <c r="P135" s="101"/>
      <c r="Q135" s="97"/>
      <c r="R135" s="99"/>
      <c r="S135" s="97"/>
      <c r="T135" s="146"/>
      <c r="U135" s="146"/>
      <c r="V135" s="146"/>
      <c r="W135" s="71"/>
    </row>
    <row r="136" spans="2:23" ht="24.95" customHeight="1" thickBot="1">
      <c r="B136" s="72">
        <f t="shared" ref="B136" si="2">IF(G136="","",1+B135)</f>
        <v>125</v>
      </c>
      <c r="C136" s="109"/>
      <c r="D136" s="53">
        <v>1</v>
      </c>
      <c r="E136" s="110">
        <v>495624</v>
      </c>
      <c r="F136" s="193" t="s">
        <v>252</v>
      </c>
      <c r="G136" s="395" t="s">
        <v>253</v>
      </c>
      <c r="H136" s="396"/>
      <c r="I136" s="396"/>
      <c r="J136" s="397"/>
      <c r="K136" s="66" t="s">
        <v>67</v>
      </c>
      <c r="L136" s="111" t="s">
        <v>39</v>
      </c>
      <c r="M136" s="111"/>
      <c r="N136" s="111"/>
      <c r="O136" s="347"/>
      <c r="P136" s="349"/>
      <c r="Q136" s="112"/>
      <c r="R136" s="111"/>
      <c r="S136" s="112"/>
      <c r="T136" s="148"/>
      <c r="U136" s="148"/>
      <c r="V136" s="148"/>
      <c r="W136" s="154"/>
    </row>
    <row r="137" spans="2:23" ht="24.95" customHeight="1" thickBot="1">
      <c r="B137" s="52">
        <f t="shared" si="1"/>
        <v>126</v>
      </c>
      <c r="C137" s="326" t="s">
        <v>254</v>
      </c>
      <c r="D137" s="53">
        <v>1</v>
      </c>
      <c r="E137" s="89">
        <v>496057</v>
      </c>
      <c r="F137" s="66" t="s">
        <v>255</v>
      </c>
      <c r="G137" s="338" t="s">
        <v>256</v>
      </c>
      <c r="H137" s="339"/>
      <c r="I137" s="339"/>
      <c r="J137" s="340"/>
      <c r="K137" s="66" t="s">
        <v>67</v>
      </c>
      <c r="L137" s="70" t="s">
        <v>98</v>
      </c>
      <c r="M137" s="55"/>
      <c r="N137" s="58"/>
      <c r="O137" s="353"/>
      <c r="P137" s="354"/>
      <c r="Q137" s="58"/>
      <c r="R137" s="68"/>
      <c r="S137" s="69"/>
      <c r="T137" s="142"/>
      <c r="U137" s="58"/>
      <c r="V137" s="141"/>
      <c r="W137" s="71"/>
    </row>
    <row r="138" spans="2:23" ht="24.95" customHeight="1" thickBot="1">
      <c r="B138" s="57">
        <f t="shared" si="1"/>
        <v>127</v>
      </c>
      <c r="C138" s="327"/>
      <c r="D138" s="53">
        <v>0</v>
      </c>
      <c r="E138" s="89" t="s">
        <v>37</v>
      </c>
      <c r="F138" s="66" t="s">
        <v>37</v>
      </c>
      <c r="G138" s="341" t="s">
        <v>257</v>
      </c>
      <c r="H138" s="342"/>
      <c r="I138" s="342"/>
      <c r="J138" s="343"/>
      <c r="K138" s="66"/>
      <c r="L138" s="70"/>
      <c r="M138" s="61"/>
      <c r="N138" s="58"/>
      <c r="O138" s="351"/>
      <c r="P138" s="352"/>
      <c r="Q138" s="58"/>
      <c r="R138" s="70"/>
      <c r="S138" s="69"/>
      <c r="T138" s="142"/>
      <c r="U138" s="58"/>
      <c r="V138" s="141"/>
      <c r="W138" s="108"/>
    </row>
    <row r="139" spans="2:23" ht="24.95" customHeight="1" thickBot="1">
      <c r="B139" s="57">
        <f t="shared" si="1"/>
        <v>128</v>
      </c>
      <c r="C139" s="327"/>
      <c r="D139" s="53">
        <v>2</v>
      </c>
      <c r="E139" s="89" t="s">
        <v>37</v>
      </c>
      <c r="F139" s="66" t="s">
        <v>258</v>
      </c>
      <c r="G139" s="332" t="s">
        <v>259</v>
      </c>
      <c r="H139" s="333"/>
      <c r="I139" s="333"/>
      <c r="J139" s="334"/>
      <c r="K139" s="159" t="s">
        <v>204</v>
      </c>
      <c r="L139" s="70" t="s">
        <v>37</v>
      </c>
      <c r="M139" s="61"/>
      <c r="N139" s="58"/>
      <c r="O139" s="351"/>
      <c r="P139" s="352"/>
      <c r="Q139" s="58"/>
      <c r="R139" s="68"/>
      <c r="S139" s="69"/>
      <c r="T139" s="142"/>
      <c r="U139" s="58"/>
      <c r="V139" s="141"/>
      <c r="W139" s="108" t="s">
        <v>260</v>
      </c>
    </row>
    <row r="140" spans="2:23" ht="24.95" customHeight="1" thickBot="1">
      <c r="B140" s="57">
        <f t="shared" si="1"/>
        <v>129</v>
      </c>
      <c r="C140" s="327"/>
      <c r="D140" s="53">
        <v>0</v>
      </c>
      <c r="E140" s="89" t="s">
        <v>37</v>
      </c>
      <c r="F140" s="66" t="s">
        <v>37</v>
      </c>
      <c r="G140" s="335" t="s">
        <v>261</v>
      </c>
      <c r="H140" s="336"/>
      <c r="I140" s="336"/>
      <c r="J140" s="337"/>
      <c r="K140" s="66"/>
      <c r="L140" s="61"/>
      <c r="M140" s="61"/>
      <c r="N140" s="58"/>
      <c r="O140" s="351"/>
      <c r="P140" s="352"/>
      <c r="Q140" s="58"/>
      <c r="R140" s="61"/>
      <c r="S140" s="58"/>
      <c r="T140" s="141"/>
      <c r="U140" s="58"/>
      <c r="V140" s="141"/>
      <c r="W140" s="108"/>
    </row>
    <row r="141" spans="2:23" ht="24.95" customHeight="1" thickBot="1">
      <c r="B141" s="77">
        <f t="shared" si="1"/>
        <v>130</v>
      </c>
      <c r="C141" s="327"/>
      <c r="D141" s="53">
        <v>0</v>
      </c>
      <c r="E141" s="89" t="s">
        <v>37</v>
      </c>
      <c r="F141" s="66" t="s">
        <v>37</v>
      </c>
      <c r="G141" s="329" t="s">
        <v>150</v>
      </c>
      <c r="H141" s="330"/>
      <c r="I141" s="330"/>
      <c r="J141" s="331"/>
      <c r="K141" s="66"/>
      <c r="L141" s="86"/>
      <c r="M141" s="80"/>
      <c r="N141" s="78"/>
      <c r="O141" s="155"/>
      <c r="P141" s="82"/>
      <c r="Q141" s="58"/>
      <c r="R141" s="105"/>
      <c r="S141" s="85"/>
      <c r="T141" s="145"/>
      <c r="U141" s="58"/>
      <c r="V141" s="141"/>
      <c r="W141" s="108"/>
    </row>
    <row r="142" spans="2:23" ht="24.95" customHeight="1" thickBot="1">
      <c r="B142" s="57">
        <f t="shared" si="1"/>
        <v>131</v>
      </c>
      <c r="C142" s="327"/>
      <c r="D142" s="53">
        <v>0</v>
      </c>
      <c r="E142" s="89">
        <v>504919</v>
      </c>
      <c r="F142" s="66" t="s">
        <v>37</v>
      </c>
      <c r="G142" s="323" t="s">
        <v>262</v>
      </c>
      <c r="H142" s="324"/>
      <c r="I142" s="324"/>
      <c r="J142" s="325"/>
      <c r="K142" s="66"/>
      <c r="L142" s="70" t="s">
        <v>37</v>
      </c>
      <c r="M142" s="61"/>
      <c r="N142" s="58"/>
      <c r="O142" s="83"/>
      <c r="P142" s="150"/>
      <c r="Q142" s="58"/>
      <c r="R142" s="68"/>
      <c r="S142" s="69"/>
      <c r="T142" s="142"/>
      <c r="U142" s="58"/>
      <c r="V142" s="141"/>
      <c r="W142" s="108"/>
    </row>
    <row r="143" spans="2:23" ht="24.95" customHeight="1" thickBot="1">
      <c r="B143" s="57">
        <f t="shared" ref="B143:B175" si="3">IF(G143="","",1+B142)</f>
        <v>132</v>
      </c>
      <c r="C143" s="327"/>
      <c r="D143" s="53">
        <v>0</v>
      </c>
      <c r="E143" s="89" t="s">
        <v>37</v>
      </c>
      <c r="F143" s="66" t="s">
        <v>37</v>
      </c>
      <c r="G143" s="332" t="s">
        <v>263</v>
      </c>
      <c r="H143" s="333"/>
      <c r="I143" s="333"/>
      <c r="J143" s="334"/>
      <c r="K143" s="66"/>
      <c r="L143" s="70" t="s">
        <v>39</v>
      </c>
      <c r="M143" s="61"/>
      <c r="N143" s="58"/>
      <c r="O143" s="83"/>
      <c r="P143" s="150"/>
      <c r="Q143" s="58"/>
      <c r="R143" s="68"/>
      <c r="S143" s="69"/>
      <c r="T143" s="142"/>
      <c r="U143" s="58"/>
      <c r="V143" s="141"/>
      <c r="W143" s="108"/>
    </row>
    <row r="144" spans="2:23" ht="16.5" thickBot="1">
      <c r="B144" s="57">
        <f t="shared" si="3"/>
        <v>133</v>
      </c>
      <c r="C144" s="327"/>
      <c r="D144" s="53">
        <v>1</v>
      </c>
      <c r="E144" s="89" t="s">
        <v>37</v>
      </c>
      <c r="F144" s="66" t="s">
        <v>37</v>
      </c>
      <c r="G144" s="332" t="s">
        <v>264</v>
      </c>
      <c r="H144" s="333"/>
      <c r="I144" s="333"/>
      <c r="J144" s="334"/>
      <c r="K144" s="66" t="s">
        <v>43</v>
      </c>
      <c r="L144" s="70"/>
      <c r="M144" s="61"/>
      <c r="N144" s="58"/>
      <c r="O144" s="83"/>
      <c r="P144" s="150"/>
      <c r="Q144" s="63"/>
      <c r="R144" s="68"/>
      <c r="S144" s="69"/>
      <c r="T144" s="142"/>
      <c r="U144" s="58"/>
      <c r="V144" s="141"/>
      <c r="W144" s="108"/>
    </row>
    <row r="145" spans="2:23" ht="26.25" customHeight="1" thickBot="1">
      <c r="B145" s="57">
        <f t="shared" si="3"/>
        <v>134</v>
      </c>
      <c r="C145" s="327"/>
      <c r="D145" s="53">
        <v>0</v>
      </c>
      <c r="E145" s="89" t="s">
        <v>37</v>
      </c>
      <c r="F145" s="66" t="s">
        <v>37</v>
      </c>
      <c r="G145" s="323" t="s">
        <v>265</v>
      </c>
      <c r="H145" s="324"/>
      <c r="I145" s="324"/>
      <c r="J145" s="325"/>
      <c r="K145" s="66"/>
      <c r="L145" s="70" t="s">
        <v>39</v>
      </c>
      <c r="M145" s="61"/>
      <c r="N145" s="58"/>
      <c r="O145" s="83"/>
      <c r="P145" s="150"/>
      <c r="Q145" s="63"/>
      <c r="R145" s="68"/>
      <c r="S145" s="69"/>
      <c r="T145" s="142"/>
      <c r="U145" s="58"/>
      <c r="V145" s="141"/>
      <c r="W145" s="108"/>
    </row>
    <row r="146" spans="2:23" ht="26.25" customHeight="1" thickBot="1">
      <c r="B146" s="57">
        <f t="shared" si="3"/>
        <v>135</v>
      </c>
      <c r="C146" s="327"/>
      <c r="D146" s="53">
        <v>2</v>
      </c>
      <c r="E146" s="89" t="s">
        <v>37</v>
      </c>
      <c r="F146" s="66" t="s">
        <v>266</v>
      </c>
      <c r="G146" s="323" t="s">
        <v>267</v>
      </c>
      <c r="H146" s="324"/>
      <c r="I146" s="324"/>
      <c r="J146" s="325"/>
      <c r="K146" s="159" t="s">
        <v>43</v>
      </c>
      <c r="L146" s="70" t="s">
        <v>98</v>
      </c>
      <c r="M146" s="61"/>
      <c r="N146" s="58"/>
      <c r="O146" s="83"/>
      <c r="P146" s="150"/>
      <c r="Q146" s="63"/>
      <c r="R146" s="68"/>
      <c r="S146" s="69"/>
      <c r="T146" s="142"/>
      <c r="U146" s="58"/>
      <c r="V146" s="141"/>
      <c r="W146" s="108"/>
    </row>
    <row r="147" spans="2:23" ht="24.95" customHeight="1" thickBot="1">
      <c r="B147" s="57">
        <f t="shared" si="3"/>
        <v>136</v>
      </c>
      <c r="C147" s="327"/>
      <c r="D147" s="53">
        <v>1</v>
      </c>
      <c r="E147" s="89" t="s">
        <v>37</v>
      </c>
      <c r="F147" s="66" t="s">
        <v>268</v>
      </c>
      <c r="G147" s="332" t="s">
        <v>269</v>
      </c>
      <c r="H147" s="333"/>
      <c r="I147" s="333"/>
      <c r="J147" s="334"/>
      <c r="K147" s="66" t="s">
        <v>46</v>
      </c>
      <c r="L147" s="70" t="s">
        <v>39</v>
      </c>
      <c r="M147" s="61"/>
      <c r="N147" s="58"/>
      <c r="O147" s="83"/>
      <c r="P147" s="150"/>
      <c r="Q147" s="104"/>
      <c r="R147" s="68"/>
      <c r="S147" s="69"/>
      <c r="T147" s="142"/>
      <c r="U147" s="58"/>
      <c r="V147" s="141"/>
      <c r="W147" s="71"/>
    </row>
    <row r="148" spans="2:23" ht="24.95" customHeight="1" thickBot="1">
      <c r="B148" s="57">
        <f t="shared" si="3"/>
        <v>137</v>
      </c>
      <c r="C148" s="327"/>
      <c r="D148" s="53">
        <v>0</v>
      </c>
      <c r="E148" s="89" t="s">
        <v>37</v>
      </c>
      <c r="F148" s="66" t="s">
        <v>37</v>
      </c>
      <c r="G148" s="332" t="s">
        <v>269</v>
      </c>
      <c r="H148" s="333"/>
      <c r="I148" s="333"/>
      <c r="J148" s="334"/>
      <c r="K148" s="159"/>
      <c r="L148" s="70"/>
      <c r="M148" s="61"/>
      <c r="N148" s="58"/>
      <c r="O148" s="83"/>
      <c r="P148" s="150"/>
      <c r="Q148" s="63"/>
      <c r="R148" s="68"/>
      <c r="S148" s="69"/>
      <c r="T148" s="142"/>
      <c r="U148" s="58"/>
      <c r="V148" s="141"/>
      <c r="W148" s="108"/>
    </row>
    <row r="149" spans="2:23" ht="24.95" customHeight="1" thickBot="1">
      <c r="B149" s="57">
        <f t="shared" si="3"/>
        <v>138</v>
      </c>
      <c r="C149" s="327"/>
      <c r="D149" s="53">
        <v>0</v>
      </c>
      <c r="E149" s="89" t="s">
        <v>37</v>
      </c>
      <c r="F149" s="186" t="s">
        <v>37</v>
      </c>
      <c r="G149" s="323" t="s">
        <v>270</v>
      </c>
      <c r="H149" s="324"/>
      <c r="I149" s="324"/>
      <c r="J149" s="325"/>
      <c r="K149" s="66"/>
      <c r="L149" s="70"/>
      <c r="M149" s="61"/>
      <c r="N149" s="58"/>
      <c r="O149" s="83"/>
      <c r="P149" s="150"/>
      <c r="Q149" s="63"/>
      <c r="R149" s="68"/>
      <c r="S149" s="69"/>
      <c r="T149" s="142"/>
      <c r="U149" s="58"/>
      <c r="V149" s="141"/>
      <c r="W149" s="108"/>
    </row>
    <row r="150" spans="2:23" ht="24.95" customHeight="1" thickBot="1">
      <c r="B150" s="57">
        <f t="shared" si="3"/>
        <v>139</v>
      </c>
      <c r="C150" s="327"/>
      <c r="D150" s="53">
        <v>1</v>
      </c>
      <c r="E150" s="89" t="s">
        <v>37</v>
      </c>
      <c r="F150" s="66" t="s">
        <v>271</v>
      </c>
      <c r="G150" s="323" t="s">
        <v>272</v>
      </c>
      <c r="H150" s="324"/>
      <c r="I150" s="324"/>
      <c r="J150" s="325"/>
      <c r="K150" s="66" t="s">
        <v>67</v>
      </c>
      <c r="L150" s="70" t="s">
        <v>39</v>
      </c>
      <c r="M150" s="61"/>
      <c r="N150" s="58"/>
      <c r="O150" s="83"/>
      <c r="P150" s="150"/>
      <c r="Q150" s="63"/>
      <c r="R150" s="67"/>
      <c r="S150" s="58"/>
      <c r="T150" s="141"/>
      <c r="U150" s="58"/>
      <c r="V150" s="141"/>
      <c r="W150" s="108"/>
    </row>
    <row r="151" spans="2:23" ht="24.95" customHeight="1" thickBot="1">
      <c r="B151" s="57">
        <f t="shared" si="3"/>
        <v>140</v>
      </c>
      <c r="C151" s="327"/>
      <c r="D151" s="53">
        <v>1</v>
      </c>
      <c r="E151" s="89">
        <v>504920</v>
      </c>
      <c r="F151" s="66" t="s">
        <v>273</v>
      </c>
      <c r="G151" s="323" t="s">
        <v>274</v>
      </c>
      <c r="H151" s="324"/>
      <c r="I151" s="324"/>
      <c r="J151" s="325"/>
      <c r="K151" s="159" t="s">
        <v>78</v>
      </c>
      <c r="L151" s="70"/>
      <c r="M151" s="61"/>
      <c r="N151" s="58"/>
      <c r="O151" s="83"/>
      <c r="P151" s="150"/>
      <c r="Q151" s="63"/>
      <c r="R151" s="67"/>
      <c r="S151" s="58"/>
      <c r="T151" s="141"/>
      <c r="U151" s="58"/>
      <c r="V151" s="141"/>
      <c r="W151" s="108"/>
    </row>
    <row r="152" spans="2:23" ht="24.95" customHeight="1" thickBot="1">
      <c r="B152" s="57">
        <f t="shared" si="3"/>
        <v>141</v>
      </c>
      <c r="C152" s="327"/>
      <c r="D152" s="53">
        <v>0</v>
      </c>
      <c r="E152" s="89" t="s">
        <v>37</v>
      </c>
      <c r="F152" s="175" t="s">
        <v>37</v>
      </c>
      <c r="G152" s="323" t="s">
        <v>272</v>
      </c>
      <c r="H152" s="324"/>
      <c r="I152" s="324"/>
      <c r="J152" s="325"/>
      <c r="K152" s="66"/>
      <c r="L152" s="70"/>
      <c r="M152" s="61"/>
      <c r="N152" s="58"/>
      <c r="O152" s="83"/>
      <c r="P152" s="150"/>
      <c r="Q152" s="63"/>
      <c r="R152" s="67"/>
      <c r="S152" s="58"/>
      <c r="T152" s="141"/>
      <c r="U152" s="58"/>
      <c r="V152" s="141"/>
      <c r="W152" s="108"/>
    </row>
    <row r="153" spans="2:23" ht="24.95" customHeight="1" thickBot="1">
      <c r="B153" s="57">
        <f t="shared" si="3"/>
        <v>142</v>
      </c>
      <c r="C153" s="327"/>
      <c r="D153" s="53">
        <v>1</v>
      </c>
      <c r="E153" s="89">
        <v>505091</v>
      </c>
      <c r="F153" s="66" t="s">
        <v>275</v>
      </c>
      <c r="G153" s="323" t="s">
        <v>276</v>
      </c>
      <c r="H153" s="324"/>
      <c r="I153" s="324"/>
      <c r="J153" s="325"/>
      <c r="K153" s="159" t="s">
        <v>56</v>
      </c>
      <c r="L153" s="70" t="s">
        <v>98</v>
      </c>
      <c r="M153" s="61"/>
      <c r="N153" s="58"/>
      <c r="O153" s="83"/>
      <c r="P153" s="150"/>
      <c r="Q153" s="63"/>
      <c r="R153" s="67"/>
      <c r="S153" s="58"/>
      <c r="T153" s="141"/>
      <c r="U153" s="58"/>
      <c r="V153" s="141"/>
      <c r="W153" s="108" t="s">
        <v>89</v>
      </c>
    </row>
    <row r="154" spans="2:23" ht="24.95" customHeight="1" thickBot="1">
      <c r="B154" s="57">
        <f t="shared" si="3"/>
        <v>143</v>
      </c>
      <c r="C154" s="327"/>
      <c r="D154" s="53">
        <v>3</v>
      </c>
      <c r="E154" s="89" t="s">
        <v>37</v>
      </c>
      <c r="F154" s="66" t="s">
        <v>277</v>
      </c>
      <c r="G154" s="323" t="s">
        <v>278</v>
      </c>
      <c r="H154" s="324"/>
      <c r="I154" s="324"/>
      <c r="J154" s="325"/>
      <c r="K154" s="66" t="s">
        <v>46</v>
      </c>
      <c r="L154" s="70"/>
      <c r="M154" s="61"/>
      <c r="N154" s="58"/>
      <c r="O154" s="83"/>
      <c r="P154" s="150"/>
      <c r="Q154" s="63"/>
      <c r="R154" s="67"/>
      <c r="S154" s="58"/>
      <c r="T154" s="141"/>
      <c r="U154" s="58"/>
      <c r="V154" s="141"/>
      <c r="W154" s="71"/>
    </row>
    <row r="155" spans="2:23" ht="24.95" customHeight="1" thickBot="1">
      <c r="B155" s="57">
        <f t="shared" si="3"/>
        <v>144</v>
      </c>
      <c r="C155" s="327"/>
      <c r="D155" s="53">
        <v>2</v>
      </c>
      <c r="E155" s="89">
        <v>495080</v>
      </c>
      <c r="F155" s="66" t="s">
        <v>279</v>
      </c>
      <c r="G155" s="323" t="s">
        <v>280</v>
      </c>
      <c r="H155" s="324"/>
      <c r="I155" s="324"/>
      <c r="J155" s="325"/>
      <c r="K155" s="159" t="s">
        <v>78</v>
      </c>
      <c r="L155" s="70"/>
      <c r="M155" s="61"/>
      <c r="N155" s="58"/>
      <c r="O155" s="83"/>
      <c r="P155" s="150"/>
      <c r="Q155" s="63"/>
      <c r="R155" s="67"/>
      <c r="S155" s="58"/>
      <c r="T155" s="141"/>
      <c r="U155" s="58"/>
      <c r="V155" s="141"/>
      <c r="W155" s="108" t="s">
        <v>281</v>
      </c>
    </row>
    <row r="156" spans="2:23" ht="24.95" customHeight="1" thickBot="1">
      <c r="B156" s="57">
        <f t="shared" si="3"/>
        <v>145</v>
      </c>
      <c r="C156" s="327"/>
      <c r="D156" s="53">
        <v>1</v>
      </c>
      <c r="E156" s="89">
        <v>495020</v>
      </c>
      <c r="F156" s="66" t="s">
        <v>282</v>
      </c>
      <c r="G156" s="323" t="s">
        <v>283</v>
      </c>
      <c r="H156" s="324"/>
      <c r="I156" s="324"/>
      <c r="J156" s="325"/>
      <c r="K156" s="159" t="s">
        <v>178</v>
      </c>
      <c r="L156" s="70"/>
      <c r="M156" s="61"/>
      <c r="N156" s="58"/>
      <c r="O156" s="83"/>
      <c r="P156" s="150"/>
      <c r="Q156" s="63"/>
      <c r="R156" s="67"/>
      <c r="S156" s="58"/>
      <c r="T156" s="141"/>
      <c r="U156" s="58"/>
      <c r="V156" s="141"/>
      <c r="W156" s="108"/>
    </row>
    <row r="157" spans="2:23" ht="24.95" customHeight="1" thickBot="1">
      <c r="B157" s="57">
        <f t="shared" si="3"/>
        <v>146</v>
      </c>
      <c r="C157" s="327"/>
      <c r="D157" s="53">
        <v>1</v>
      </c>
      <c r="E157" s="89" t="s">
        <v>37</v>
      </c>
      <c r="F157" s="66" t="s">
        <v>284</v>
      </c>
      <c r="G157" s="323" t="s">
        <v>285</v>
      </c>
      <c r="H157" s="324"/>
      <c r="I157" s="324"/>
      <c r="J157" s="325"/>
      <c r="K157" s="159" t="s">
        <v>67</v>
      </c>
      <c r="L157" s="70" t="s">
        <v>98</v>
      </c>
      <c r="M157" s="61"/>
      <c r="N157" s="58"/>
      <c r="O157" s="83"/>
      <c r="P157" s="150"/>
      <c r="Q157" s="63"/>
      <c r="R157" s="68"/>
      <c r="S157" s="69"/>
      <c r="T157" s="142"/>
      <c r="U157" s="58"/>
      <c r="V157" s="141"/>
      <c r="W157" s="108"/>
    </row>
    <row r="158" spans="2:23" ht="37.5" customHeight="1" thickBot="1">
      <c r="B158" s="57">
        <f t="shared" si="3"/>
        <v>147</v>
      </c>
      <c r="C158" s="327"/>
      <c r="D158" s="53">
        <v>2</v>
      </c>
      <c r="E158" s="89">
        <v>495075</v>
      </c>
      <c r="F158" s="66" t="s">
        <v>286</v>
      </c>
      <c r="G158" s="323" t="s">
        <v>287</v>
      </c>
      <c r="H158" s="324"/>
      <c r="I158" s="324"/>
      <c r="J158" s="325"/>
      <c r="K158" s="159" t="s">
        <v>43</v>
      </c>
      <c r="L158" s="70" t="s">
        <v>39</v>
      </c>
      <c r="M158" s="61"/>
      <c r="N158" s="58"/>
      <c r="O158" s="83"/>
      <c r="P158" s="150"/>
      <c r="Q158" s="58"/>
      <c r="R158" s="68"/>
      <c r="S158" s="69"/>
      <c r="T158" s="142"/>
      <c r="U158" s="58"/>
      <c r="V158" s="141"/>
      <c r="W158" s="108"/>
    </row>
    <row r="159" spans="2:23" ht="24.95" customHeight="1" thickBot="1">
      <c r="B159" s="57">
        <f t="shared" si="3"/>
        <v>148</v>
      </c>
      <c r="C159" s="327"/>
      <c r="D159" s="53">
        <v>1</v>
      </c>
      <c r="E159" s="89">
        <v>517173</v>
      </c>
      <c r="F159" s="66" t="s">
        <v>37</v>
      </c>
      <c r="G159" s="323" t="s">
        <v>288</v>
      </c>
      <c r="H159" s="324"/>
      <c r="I159" s="324"/>
      <c r="J159" s="325"/>
      <c r="K159" s="159" t="s">
        <v>67</v>
      </c>
      <c r="L159" s="70"/>
      <c r="M159" s="61"/>
      <c r="N159" s="58"/>
      <c r="O159" s="83"/>
      <c r="P159" s="150"/>
      <c r="Q159" s="58"/>
      <c r="R159" s="68"/>
      <c r="S159" s="69"/>
      <c r="T159" s="142"/>
      <c r="U159" s="58"/>
      <c r="V159" s="141"/>
      <c r="W159" s="108" t="s">
        <v>289</v>
      </c>
    </row>
    <row r="160" spans="2:23" ht="24.95" customHeight="1" thickBot="1">
      <c r="B160" s="57">
        <f t="shared" si="3"/>
        <v>149</v>
      </c>
      <c r="C160" s="327"/>
      <c r="D160" s="53">
        <v>0</v>
      </c>
      <c r="E160" s="89" t="s">
        <v>37</v>
      </c>
      <c r="F160" s="66" t="s">
        <v>37</v>
      </c>
      <c r="G160" s="323" t="s">
        <v>290</v>
      </c>
      <c r="H160" s="324"/>
      <c r="I160" s="324"/>
      <c r="J160" s="325"/>
      <c r="K160" s="159"/>
      <c r="L160" s="70" t="s">
        <v>39</v>
      </c>
      <c r="M160" s="61"/>
      <c r="N160" s="58"/>
      <c r="O160" s="83"/>
      <c r="P160" s="150"/>
      <c r="Q160" s="63"/>
      <c r="R160" s="68"/>
      <c r="S160" s="69"/>
      <c r="T160" s="142"/>
      <c r="U160" s="58"/>
      <c r="V160" s="141"/>
      <c r="W160" s="108"/>
    </row>
    <row r="161" spans="2:23" ht="31.5" customHeight="1" thickBot="1">
      <c r="B161" s="57">
        <f t="shared" si="3"/>
        <v>150</v>
      </c>
      <c r="C161" s="327"/>
      <c r="D161" s="53">
        <v>1</v>
      </c>
      <c r="E161" s="89" t="s">
        <v>37</v>
      </c>
      <c r="F161" s="89" t="s">
        <v>291</v>
      </c>
      <c r="G161" s="323" t="s">
        <v>292</v>
      </c>
      <c r="H161" s="324"/>
      <c r="I161" s="324"/>
      <c r="J161" s="325"/>
      <c r="K161" s="159" t="s">
        <v>67</v>
      </c>
      <c r="L161" s="70"/>
      <c r="M161" s="61"/>
      <c r="N161" s="58" t="s">
        <v>293</v>
      </c>
      <c r="O161" s="162"/>
      <c r="P161" s="150"/>
      <c r="Q161" s="58">
        <v>326425185</v>
      </c>
      <c r="R161" s="68">
        <v>46083</v>
      </c>
      <c r="S161" s="69"/>
      <c r="T161" s="142"/>
      <c r="U161" s="58" t="s">
        <v>294</v>
      </c>
      <c r="V161" s="141" t="s">
        <v>3</v>
      </c>
      <c r="W161" s="108" t="s">
        <v>295</v>
      </c>
    </row>
    <row r="162" spans="2:23" ht="24.95" customHeight="1" thickBot="1">
      <c r="B162" s="57">
        <f t="shared" si="3"/>
        <v>151</v>
      </c>
      <c r="C162" s="327"/>
      <c r="D162" s="53">
        <v>2</v>
      </c>
      <c r="E162" s="89" t="s">
        <v>37</v>
      </c>
      <c r="F162" s="66" t="s">
        <v>296</v>
      </c>
      <c r="G162" s="323" t="s">
        <v>297</v>
      </c>
      <c r="H162" s="324"/>
      <c r="I162" s="324"/>
      <c r="J162" s="325"/>
      <c r="K162" s="159" t="s">
        <v>117</v>
      </c>
      <c r="L162" s="70" t="s">
        <v>39</v>
      </c>
      <c r="M162" s="61"/>
      <c r="N162" s="58"/>
      <c r="O162" s="83"/>
      <c r="P162" s="150"/>
      <c r="Q162" s="58"/>
      <c r="R162" s="68"/>
      <c r="S162" s="69"/>
      <c r="T162" s="142"/>
      <c r="U162" s="58"/>
      <c r="V162" s="141"/>
      <c r="W162" s="108"/>
    </row>
    <row r="163" spans="2:23" ht="24.95" customHeight="1" thickBot="1">
      <c r="B163" s="57">
        <f t="shared" si="3"/>
        <v>152</v>
      </c>
      <c r="C163" s="327"/>
      <c r="D163" s="53">
        <v>0</v>
      </c>
      <c r="E163" s="89">
        <v>496064</v>
      </c>
      <c r="F163" s="66" t="s">
        <v>37</v>
      </c>
      <c r="G163" s="323" t="s">
        <v>298</v>
      </c>
      <c r="H163" s="324"/>
      <c r="I163" s="324"/>
      <c r="J163" s="325"/>
      <c r="K163" s="66"/>
      <c r="L163" s="70" t="s">
        <v>39</v>
      </c>
      <c r="M163" s="61"/>
      <c r="N163" s="58"/>
      <c r="O163" s="83"/>
      <c r="P163" s="150"/>
      <c r="Q163" s="58"/>
      <c r="R163" s="70"/>
      <c r="S163" s="69"/>
      <c r="T163" s="142"/>
      <c r="U163" s="58"/>
      <c r="V163" s="141"/>
      <c r="W163" s="108"/>
    </row>
    <row r="164" spans="2:23" ht="24.95" customHeight="1" thickBot="1">
      <c r="B164" s="57">
        <f t="shared" si="3"/>
        <v>153</v>
      </c>
      <c r="C164" s="327"/>
      <c r="D164" s="53">
        <v>1</v>
      </c>
      <c r="E164" s="89" t="s">
        <v>37</v>
      </c>
      <c r="F164" s="66" t="s">
        <v>85</v>
      </c>
      <c r="G164" s="323" t="s">
        <v>299</v>
      </c>
      <c r="H164" s="324"/>
      <c r="I164" s="324"/>
      <c r="J164" s="325"/>
      <c r="K164" s="66" t="s">
        <v>101</v>
      </c>
      <c r="L164" s="70" t="s">
        <v>39</v>
      </c>
      <c r="M164" s="61"/>
      <c r="N164" s="157"/>
      <c r="O164" s="83"/>
      <c r="P164" s="150"/>
      <c r="Q164" s="58"/>
      <c r="R164" s="68"/>
      <c r="S164" s="69"/>
      <c r="T164" s="142"/>
      <c r="U164" s="58"/>
      <c r="V164" s="141"/>
      <c r="W164" s="108" t="s">
        <v>300</v>
      </c>
    </row>
    <row r="165" spans="2:23" ht="24.95" customHeight="1" thickBot="1">
      <c r="B165" s="57">
        <f t="shared" si="3"/>
        <v>154</v>
      </c>
      <c r="C165" s="327"/>
      <c r="D165" s="53">
        <v>1</v>
      </c>
      <c r="E165" s="89" t="s">
        <v>37</v>
      </c>
      <c r="F165" s="66" t="s">
        <v>301</v>
      </c>
      <c r="G165" s="323" t="s">
        <v>302</v>
      </c>
      <c r="H165" s="324"/>
      <c r="I165" s="324"/>
      <c r="J165" s="325"/>
      <c r="K165" s="66" t="s">
        <v>204</v>
      </c>
      <c r="L165" s="70" t="s">
        <v>39</v>
      </c>
      <c r="M165" s="61"/>
      <c r="N165" s="58"/>
      <c r="O165" s="83"/>
      <c r="P165" s="150"/>
      <c r="Q165" s="58"/>
      <c r="R165" s="68"/>
      <c r="S165" s="69"/>
      <c r="T165" s="142"/>
      <c r="U165" s="58"/>
      <c r="V165" s="141"/>
      <c r="W165" s="159" t="s">
        <v>303</v>
      </c>
    </row>
    <row r="166" spans="2:23" ht="24.95" customHeight="1">
      <c r="B166" s="57">
        <f t="shared" si="3"/>
        <v>155</v>
      </c>
      <c r="C166" s="327"/>
      <c r="D166" s="53">
        <v>1</v>
      </c>
      <c r="E166" s="89" t="s">
        <v>37</v>
      </c>
      <c r="F166" s="66" t="s">
        <v>304</v>
      </c>
      <c r="G166" s="323" t="s">
        <v>305</v>
      </c>
      <c r="H166" s="324"/>
      <c r="I166" s="324"/>
      <c r="J166" s="325"/>
      <c r="K166" s="66" t="s">
        <v>46</v>
      </c>
      <c r="L166" s="70"/>
      <c r="M166" s="61"/>
      <c r="N166" s="58"/>
      <c r="O166" s="83"/>
      <c r="P166" s="150"/>
      <c r="Q166" s="58"/>
      <c r="R166" s="68"/>
      <c r="S166" s="69"/>
      <c r="T166" s="142"/>
      <c r="U166" s="58"/>
      <c r="V166" s="141"/>
      <c r="W166" s="159"/>
    </row>
    <row r="167" spans="2:23" ht="24.95" customHeight="1">
      <c r="B167" s="57">
        <f>IF(G167="","",1+B166)</f>
        <v>156</v>
      </c>
      <c r="C167" s="327"/>
      <c r="D167" s="53">
        <v>1</v>
      </c>
      <c r="E167" s="89" t="s">
        <v>37</v>
      </c>
      <c r="F167" s="66" t="s">
        <v>306</v>
      </c>
      <c r="G167" s="323" t="s">
        <v>307</v>
      </c>
      <c r="H167" s="324"/>
      <c r="I167" s="324"/>
      <c r="J167" s="325"/>
      <c r="K167" s="66" t="s">
        <v>46</v>
      </c>
      <c r="L167" s="70" t="s">
        <v>39</v>
      </c>
      <c r="M167" s="61"/>
      <c r="N167" s="58"/>
      <c r="O167" s="83"/>
      <c r="P167" s="150"/>
      <c r="Q167" s="58"/>
      <c r="R167" s="68"/>
      <c r="S167" s="69"/>
      <c r="T167" s="142"/>
      <c r="U167" s="58"/>
      <c r="V167" s="141"/>
      <c r="W167" s="159" t="s">
        <v>308</v>
      </c>
    </row>
    <row r="168" spans="2:23" ht="24.95" customHeight="1" thickBot="1">
      <c r="B168" s="57">
        <f>IF(G168="","",1+B167)</f>
        <v>157</v>
      </c>
      <c r="C168" s="327"/>
      <c r="D168" s="53">
        <v>1</v>
      </c>
      <c r="E168" s="89" t="s">
        <v>309</v>
      </c>
      <c r="F168" s="66" t="s">
        <v>310</v>
      </c>
      <c r="G168" s="323" t="s">
        <v>311</v>
      </c>
      <c r="H168" s="324"/>
      <c r="I168" s="324"/>
      <c r="J168" s="325"/>
      <c r="K168" s="159" t="s">
        <v>117</v>
      </c>
      <c r="L168" s="70" t="s">
        <v>98</v>
      </c>
      <c r="M168" s="61"/>
      <c r="N168" s="61"/>
      <c r="O168" s="83"/>
      <c r="P168" s="61"/>
      <c r="Q168" s="61"/>
      <c r="R168" s="163"/>
      <c r="S168" s="61"/>
      <c r="T168" s="142"/>
      <c r="U168" s="58"/>
      <c r="V168" s="141"/>
      <c r="W168" s="108"/>
    </row>
    <row r="169" spans="2:23" ht="24.95" customHeight="1" thickBot="1">
      <c r="B169" s="57">
        <f>IF(G169="","",1+B168)</f>
        <v>158</v>
      </c>
      <c r="C169" s="327"/>
      <c r="D169" s="53">
        <v>1</v>
      </c>
      <c r="E169" s="89" t="s">
        <v>37</v>
      </c>
      <c r="F169" s="66" t="s">
        <v>312</v>
      </c>
      <c r="G169" s="323" t="s">
        <v>313</v>
      </c>
      <c r="H169" s="324"/>
      <c r="I169" s="324"/>
      <c r="J169" s="325"/>
      <c r="K169" s="66" t="s">
        <v>46</v>
      </c>
      <c r="L169" s="70"/>
      <c r="M169" s="61"/>
      <c r="N169" s="58"/>
      <c r="O169" s="83"/>
      <c r="P169" s="150"/>
      <c r="Q169" s="58"/>
      <c r="R169" s="68"/>
      <c r="S169" s="69"/>
      <c r="T169" s="142"/>
      <c r="U169" s="58"/>
      <c r="V169" s="141"/>
      <c r="W169" s="108"/>
    </row>
    <row r="170" spans="2:23" ht="24.95" customHeight="1">
      <c r="B170" s="57">
        <f>IF(G170="","",1+B169)</f>
        <v>159</v>
      </c>
      <c r="C170" s="327"/>
      <c r="D170" s="53">
        <v>1</v>
      </c>
      <c r="E170" s="89">
        <v>687647</v>
      </c>
      <c r="F170" s="66" t="s">
        <v>215</v>
      </c>
      <c r="G170" s="323" t="s">
        <v>314</v>
      </c>
      <c r="H170" s="324"/>
      <c r="I170" s="324"/>
      <c r="J170" s="325"/>
      <c r="K170" s="159" t="s">
        <v>178</v>
      </c>
      <c r="L170" s="70" t="s">
        <v>98</v>
      </c>
      <c r="M170" s="61"/>
      <c r="N170" s="58"/>
      <c r="O170" s="83"/>
      <c r="P170" s="150"/>
      <c r="Q170" s="58"/>
      <c r="R170" s="68"/>
      <c r="S170" s="69"/>
      <c r="T170" s="142"/>
      <c r="U170" s="58"/>
      <c r="V170" s="141"/>
      <c r="W170" s="108"/>
    </row>
    <row r="171" spans="2:23" ht="24.95" customHeight="1">
      <c r="B171" s="57">
        <f>IF(G171="","",1+B170)</f>
        <v>160</v>
      </c>
      <c r="C171" s="327"/>
      <c r="D171" s="53">
        <v>0</v>
      </c>
      <c r="E171" s="89">
        <v>495079</v>
      </c>
      <c r="F171" s="66"/>
      <c r="G171" s="323" t="s">
        <v>315</v>
      </c>
      <c r="H171" s="324"/>
      <c r="I171" s="324"/>
      <c r="J171" s="325"/>
      <c r="K171" s="159"/>
      <c r="L171" s="70"/>
      <c r="M171" s="61"/>
      <c r="N171" s="58"/>
      <c r="O171" s="83"/>
      <c r="P171" s="150"/>
      <c r="Q171" s="83"/>
      <c r="R171" s="68"/>
      <c r="S171" s="69"/>
      <c r="T171" s="142"/>
      <c r="U171" s="58"/>
      <c r="V171" s="141"/>
      <c r="W171" s="108"/>
    </row>
    <row r="172" spans="2:23" ht="24.95" customHeight="1">
      <c r="B172" s="57">
        <f t="shared" si="3"/>
        <v>161</v>
      </c>
      <c r="C172" s="327"/>
      <c r="D172" s="53">
        <v>0</v>
      </c>
      <c r="E172" s="89" t="s">
        <v>37</v>
      </c>
      <c r="F172" s="66"/>
      <c r="G172" s="323" t="s">
        <v>316</v>
      </c>
      <c r="H172" s="324"/>
      <c r="I172" s="324"/>
      <c r="J172" s="325"/>
      <c r="K172" s="66"/>
      <c r="L172" s="70"/>
      <c r="M172" s="70"/>
      <c r="N172" s="58"/>
      <c r="O172" s="83"/>
      <c r="P172" s="83"/>
      <c r="Q172" s="83"/>
      <c r="R172" s="162"/>
      <c r="S172" s="83"/>
      <c r="T172" s="142"/>
      <c r="U172" s="58"/>
      <c r="V172" s="141"/>
      <c r="W172" s="184"/>
    </row>
    <row r="173" spans="2:23" ht="24.95" customHeight="1">
      <c r="B173" s="57">
        <f t="shared" si="3"/>
        <v>162</v>
      </c>
      <c r="C173" s="327"/>
      <c r="D173" s="53">
        <v>1</v>
      </c>
      <c r="E173" s="89" t="s">
        <v>37</v>
      </c>
      <c r="F173" s="66" t="s">
        <v>317</v>
      </c>
      <c r="G173" s="323" t="s">
        <v>318</v>
      </c>
      <c r="H173" s="324"/>
      <c r="I173" s="324"/>
      <c r="J173" s="325"/>
      <c r="K173" s="159" t="s">
        <v>117</v>
      </c>
      <c r="L173" s="70" t="s">
        <v>98</v>
      </c>
      <c r="M173" s="70"/>
      <c r="N173" s="58"/>
      <c r="O173" s="83"/>
      <c r="P173" s="150"/>
      <c r="Q173" s="83"/>
      <c r="R173" s="83"/>
      <c r="S173" s="83"/>
      <c r="T173" s="142"/>
      <c r="U173" s="58"/>
      <c r="V173" s="141"/>
      <c r="W173" s="108" t="s">
        <v>319</v>
      </c>
    </row>
    <row r="174" spans="2:23" ht="24.95" customHeight="1">
      <c r="B174" s="57">
        <f t="shared" si="3"/>
        <v>163</v>
      </c>
      <c r="C174" s="327"/>
      <c r="D174" s="53">
        <v>1</v>
      </c>
      <c r="E174" s="89" t="s">
        <v>37</v>
      </c>
      <c r="F174" s="66" t="s">
        <v>37</v>
      </c>
      <c r="G174" s="323" t="s">
        <v>320</v>
      </c>
      <c r="H174" s="324"/>
      <c r="I174" s="324"/>
      <c r="J174" s="325"/>
      <c r="K174" s="159" t="s">
        <v>43</v>
      </c>
      <c r="L174" s="70" t="s">
        <v>98</v>
      </c>
      <c r="M174" s="61"/>
      <c r="N174" s="58"/>
      <c r="O174" s="83"/>
      <c r="P174" s="150"/>
      <c r="Q174" s="58"/>
      <c r="R174" s="70"/>
      <c r="S174" s="69"/>
      <c r="T174" s="142"/>
      <c r="U174" s="58"/>
      <c r="V174" s="141"/>
      <c r="W174" s="108" t="s">
        <v>321</v>
      </c>
    </row>
    <row r="175" spans="2:23" ht="24.95" customHeight="1">
      <c r="B175" s="57">
        <f t="shared" si="3"/>
        <v>164</v>
      </c>
      <c r="C175" s="327"/>
      <c r="D175" s="53">
        <v>1</v>
      </c>
      <c r="E175" s="89" t="s">
        <v>37</v>
      </c>
      <c r="F175" s="66" t="s">
        <v>37</v>
      </c>
      <c r="G175" s="323" t="s">
        <v>322</v>
      </c>
      <c r="H175" s="324"/>
      <c r="I175" s="324"/>
      <c r="J175" s="325"/>
      <c r="K175" s="159" t="s">
        <v>117</v>
      </c>
      <c r="L175" s="70" t="s">
        <v>98</v>
      </c>
      <c r="M175" s="61"/>
      <c r="N175" s="157"/>
      <c r="O175" s="83"/>
      <c r="P175" s="150"/>
      <c r="Q175" s="58"/>
      <c r="R175" s="68"/>
      <c r="S175" s="69"/>
      <c r="T175" s="142"/>
      <c r="U175" s="58"/>
      <c r="V175" s="141"/>
      <c r="W175" s="108"/>
    </row>
    <row r="176" spans="2:23" ht="24.95" customHeight="1">
      <c r="B176" s="57" t="e">
        <f>IF(G176="","",1+#REF!)</f>
        <v>#REF!</v>
      </c>
      <c r="C176" s="328"/>
      <c r="D176" s="53">
        <v>1</v>
      </c>
      <c r="E176" s="89" t="s">
        <v>37</v>
      </c>
      <c r="F176" s="186" t="s">
        <v>52</v>
      </c>
      <c r="G176" s="323" t="s">
        <v>323</v>
      </c>
      <c r="H176" s="324"/>
      <c r="I176" s="324"/>
      <c r="J176" s="325"/>
      <c r="K176" s="66" t="s">
        <v>101</v>
      </c>
      <c r="L176" s="75" t="s">
        <v>98</v>
      </c>
      <c r="M176" s="75"/>
      <c r="N176" s="73"/>
      <c r="O176" s="355"/>
      <c r="P176" s="356"/>
      <c r="Q176" s="73"/>
      <c r="R176" s="75"/>
      <c r="S176" s="73"/>
      <c r="T176" s="143"/>
      <c r="U176" s="75"/>
      <c r="V176" s="75"/>
      <c r="W176" s="113"/>
    </row>
    <row r="177" ht="20.100000000000001" customHeight="1"/>
    <row r="178" ht="20.100000000000001" customHeight="1"/>
    <row r="179"/>
    <row r="180"/>
    <row r="181"/>
    <row r="182"/>
    <row r="183"/>
    <row r="184"/>
  </sheetData>
  <sheetProtection algorithmName="SHA-512" hashValue="OjKovfP6sc/nWpTFWDxC7SvQszo1/YHNIaaK2hWUHngQ5F35imQ26lJMCtiMYyL4hO0tDAuYLo+uOwoWwqEPvA==" saltValue="IjlYvdfOZFGd93tNUrUGQg==" spinCount="100000" sheet="1" objects="1" scenarios="1"/>
  <mergeCells count="333">
    <mergeCell ref="G171:J171"/>
    <mergeCell ref="G172:J172"/>
    <mergeCell ref="G173:J173"/>
    <mergeCell ref="G174:J174"/>
    <mergeCell ref="G151:J151"/>
    <mergeCell ref="G152:J152"/>
    <mergeCell ref="G153:J153"/>
    <mergeCell ref="G154:J154"/>
    <mergeCell ref="G155:J155"/>
    <mergeCell ref="G156:J156"/>
    <mergeCell ref="G163:J163"/>
    <mergeCell ref="G164:J164"/>
    <mergeCell ref="G165:J165"/>
    <mergeCell ref="G162:J162"/>
    <mergeCell ref="G170:J170"/>
    <mergeCell ref="G167:J167"/>
    <mergeCell ref="O36:P36"/>
    <mergeCell ref="O28:P28"/>
    <mergeCell ref="O29:P29"/>
    <mergeCell ref="O30:P30"/>
    <mergeCell ref="O31:P31"/>
    <mergeCell ref="O32:P32"/>
    <mergeCell ref="G166:J166"/>
    <mergeCell ref="G32:J32"/>
    <mergeCell ref="G33:J33"/>
    <mergeCell ref="O37:P37"/>
    <mergeCell ref="O38:P38"/>
    <mergeCell ref="O39:P39"/>
    <mergeCell ref="O40:P40"/>
    <mergeCell ref="O41:P41"/>
    <mergeCell ref="O42:P42"/>
    <mergeCell ref="O45:P45"/>
    <mergeCell ref="O55:P55"/>
    <mergeCell ref="G55:J55"/>
    <mergeCell ref="G53:J53"/>
    <mergeCell ref="O64:P64"/>
    <mergeCell ref="O65:P65"/>
    <mergeCell ref="O66:P66"/>
    <mergeCell ref="O67:P67"/>
    <mergeCell ref="O58:P58"/>
    <mergeCell ref="O25:P25"/>
    <mergeCell ref="O26:P26"/>
    <mergeCell ref="O27:P27"/>
    <mergeCell ref="O33:P33"/>
    <mergeCell ref="O34:P34"/>
    <mergeCell ref="F8:W8"/>
    <mergeCell ref="B10:W10"/>
    <mergeCell ref="G29:J29"/>
    <mergeCell ref="G25:J25"/>
    <mergeCell ref="G26:J26"/>
    <mergeCell ref="G27:J27"/>
    <mergeCell ref="G28:J28"/>
    <mergeCell ref="G30:J30"/>
    <mergeCell ref="G31:J31"/>
    <mergeCell ref="C12:C26"/>
    <mergeCell ref="C27:C35"/>
    <mergeCell ref="O35:P35"/>
    <mergeCell ref="G12:J12"/>
    <mergeCell ref="G34:J34"/>
    <mergeCell ref="G35:J35"/>
    <mergeCell ref="B1:T1"/>
    <mergeCell ref="B2:E8"/>
    <mergeCell ref="F2:I2"/>
    <mergeCell ref="L2:O2"/>
    <mergeCell ref="G24:J24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F4:I4"/>
    <mergeCell ref="L4:O4"/>
    <mergeCell ref="G11:J11"/>
    <mergeCell ref="O11:P11"/>
    <mergeCell ref="O12:P12"/>
    <mergeCell ref="B9:W9"/>
    <mergeCell ref="O23:P23"/>
    <mergeCell ref="O24:P24"/>
    <mergeCell ref="Q4:W4"/>
    <mergeCell ref="O18:P18"/>
    <mergeCell ref="O19:P19"/>
    <mergeCell ref="O20:P20"/>
    <mergeCell ref="O21:P21"/>
    <mergeCell ref="O22:P22"/>
    <mergeCell ref="O13:P13"/>
    <mergeCell ref="O14:P14"/>
    <mergeCell ref="O15:P15"/>
    <mergeCell ref="O16:P16"/>
    <mergeCell ref="O17:P17"/>
    <mergeCell ref="Q5:R5"/>
    <mergeCell ref="Q6:R6"/>
    <mergeCell ref="Q7:R7"/>
    <mergeCell ref="S5:T5"/>
    <mergeCell ref="S6:T6"/>
    <mergeCell ref="S7:T7"/>
    <mergeCell ref="U5:V5"/>
    <mergeCell ref="U6:V6"/>
    <mergeCell ref="U7:V7"/>
    <mergeCell ref="O46:P46"/>
    <mergeCell ref="O49:P49"/>
    <mergeCell ref="O50:P50"/>
    <mergeCell ref="O51:P51"/>
    <mergeCell ref="O52:P52"/>
    <mergeCell ref="O48:P48"/>
    <mergeCell ref="O47:P47"/>
    <mergeCell ref="O69:P69"/>
    <mergeCell ref="G67:J67"/>
    <mergeCell ref="G68:J68"/>
    <mergeCell ref="G61:J61"/>
    <mergeCell ref="G62:J62"/>
    <mergeCell ref="G63:J63"/>
    <mergeCell ref="G64:J64"/>
    <mergeCell ref="G65:J65"/>
    <mergeCell ref="O68:P68"/>
    <mergeCell ref="O80:P80"/>
    <mergeCell ref="O79:P79"/>
    <mergeCell ref="O78:P78"/>
    <mergeCell ref="O70:P70"/>
    <mergeCell ref="G90:J90"/>
    <mergeCell ref="C69:C88"/>
    <mergeCell ref="G105:J105"/>
    <mergeCell ref="G106:J106"/>
    <mergeCell ref="G107:J107"/>
    <mergeCell ref="G81:J81"/>
    <mergeCell ref="G91:J91"/>
    <mergeCell ref="G92:J92"/>
    <mergeCell ref="G93:J93"/>
    <mergeCell ref="G94:J94"/>
    <mergeCell ref="G72:J72"/>
    <mergeCell ref="G73:J73"/>
    <mergeCell ref="G74:J74"/>
    <mergeCell ref="O103:P103"/>
    <mergeCell ref="O102:P102"/>
    <mergeCell ref="O91:P91"/>
    <mergeCell ref="O86:P86"/>
    <mergeCell ref="O85:P85"/>
    <mergeCell ref="O84:P84"/>
    <mergeCell ref="O83:P83"/>
    <mergeCell ref="G108:J108"/>
    <mergeCell ref="G100:J100"/>
    <mergeCell ref="G101:J101"/>
    <mergeCell ref="G102:J102"/>
    <mergeCell ref="G103:J103"/>
    <mergeCell ref="G104:J104"/>
    <mergeCell ref="G95:J95"/>
    <mergeCell ref="G96:J96"/>
    <mergeCell ref="G97:J97"/>
    <mergeCell ref="G98:J98"/>
    <mergeCell ref="G99:J99"/>
    <mergeCell ref="C56:C68"/>
    <mergeCell ref="G82:J82"/>
    <mergeCell ref="G83:J83"/>
    <mergeCell ref="G84:J84"/>
    <mergeCell ref="G85:J85"/>
    <mergeCell ref="G86:J86"/>
    <mergeCell ref="G87:J87"/>
    <mergeCell ref="G88:J88"/>
    <mergeCell ref="G89:J89"/>
    <mergeCell ref="G75:J75"/>
    <mergeCell ref="G76:J76"/>
    <mergeCell ref="G77:J77"/>
    <mergeCell ref="G78:J78"/>
    <mergeCell ref="G79:J79"/>
    <mergeCell ref="G80:J80"/>
    <mergeCell ref="G56:J56"/>
    <mergeCell ref="G57:J57"/>
    <mergeCell ref="G58:J58"/>
    <mergeCell ref="G59:J59"/>
    <mergeCell ref="G60:J60"/>
    <mergeCell ref="G69:J69"/>
    <mergeCell ref="G70:J70"/>
    <mergeCell ref="G71:J71"/>
    <mergeCell ref="G66:J66"/>
    <mergeCell ref="G115:J115"/>
    <mergeCell ref="G116:J116"/>
    <mergeCell ref="G117:J117"/>
    <mergeCell ref="G118:J118"/>
    <mergeCell ref="G109:J109"/>
    <mergeCell ref="G110:J110"/>
    <mergeCell ref="G111:J111"/>
    <mergeCell ref="G112:J112"/>
    <mergeCell ref="G113:J113"/>
    <mergeCell ref="C111:C134"/>
    <mergeCell ref="C89:C92"/>
    <mergeCell ref="C93:C97"/>
    <mergeCell ref="C98:C103"/>
    <mergeCell ref="C104:C110"/>
    <mergeCell ref="G131:J131"/>
    <mergeCell ref="G134:J134"/>
    <mergeCell ref="G136:J136"/>
    <mergeCell ref="G129:J129"/>
    <mergeCell ref="G130:J130"/>
    <mergeCell ref="G132:J132"/>
    <mergeCell ref="G133:J133"/>
    <mergeCell ref="G135:J135"/>
    <mergeCell ref="G124:J124"/>
    <mergeCell ref="G125:J125"/>
    <mergeCell ref="G126:J126"/>
    <mergeCell ref="G127:J127"/>
    <mergeCell ref="G128:J128"/>
    <mergeCell ref="G119:J119"/>
    <mergeCell ref="G120:J120"/>
    <mergeCell ref="G121:J121"/>
    <mergeCell ref="G122:J122"/>
    <mergeCell ref="G123:J123"/>
    <mergeCell ref="G114:J114"/>
    <mergeCell ref="C36:C48"/>
    <mergeCell ref="G54:J54"/>
    <mergeCell ref="G47:J47"/>
    <mergeCell ref="G48:J48"/>
    <mergeCell ref="G45:J45"/>
    <mergeCell ref="G46:J46"/>
    <mergeCell ref="G49:J49"/>
    <mergeCell ref="G50:J50"/>
    <mergeCell ref="G51:J51"/>
    <mergeCell ref="G52:J52"/>
    <mergeCell ref="G40:J40"/>
    <mergeCell ref="G41:J41"/>
    <mergeCell ref="G42:J42"/>
    <mergeCell ref="G43:J43"/>
    <mergeCell ref="G44:J44"/>
    <mergeCell ref="C49:C55"/>
    <mergeCell ref="G39:J39"/>
    <mergeCell ref="G36:J36"/>
    <mergeCell ref="G37:J37"/>
    <mergeCell ref="G38:J38"/>
    <mergeCell ref="O176:P176"/>
    <mergeCell ref="O140:P140"/>
    <mergeCell ref="O139:P139"/>
    <mergeCell ref="O138:P138"/>
    <mergeCell ref="O137:P137"/>
    <mergeCell ref="O136:P136"/>
    <mergeCell ref="O134:P134"/>
    <mergeCell ref="O133:P133"/>
    <mergeCell ref="O131:P131"/>
    <mergeCell ref="O132:P132"/>
    <mergeCell ref="O130:P130"/>
    <mergeCell ref="O129:P129"/>
    <mergeCell ref="O128:P128"/>
    <mergeCell ref="O127:P127"/>
    <mergeCell ref="O126:P126"/>
    <mergeCell ref="O125:P125"/>
    <mergeCell ref="O124:P124"/>
    <mergeCell ref="O123:P123"/>
    <mergeCell ref="O122:P122"/>
    <mergeCell ref="O121:P121"/>
    <mergeCell ref="O120:P120"/>
    <mergeCell ref="O119:P119"/>
    <mergeCell ref="O108:P108"/>
    <mergeCell ref="O107:P107"/>
    <mergeCell ref="O106:P106"/>
    <mergeCell ref="O105:P105"/>
    <mergeCell ref="O104:P104"/>
    <mergeCell ref="O109:P109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82:P82"/>
    <mergeCell ref="O81:P81"/>
    <mergeCell ref="O97:P97"/>
    <mergeCell ref="O98:P98"/>
    <mergeCell ref="O99:P99"/>
    <mergeCell ref="O100:P100"/>
    <mergeCell ref="O101:P101"/>
    <mergeCell ref="O94:P94"/>
    <mergeCell ref="O95:P95"/>
    <mergeCell ref="O96:P96"/>
    <mergeCell ref="O92:P92"/>
    <mergeCell ref="O93:P93"/>
    <mergeCell ref="O87:P87"/>
    <mergeCell ref="O88:P88"/>
    <mergeCell ref="O89:P89"/>
    <mergeCell ref="O90:P90"/>
    <mergeCell ref="Q3:W3"/>
    <mergeCell ref="G5:I5"/>
    <mergeCell ref="M5:O5"/>
    <mergeCell ref="G7:I7"/>
    <mergeCell ref="M7:O7"/>
    <mergeCell ref="F3:O3"/>
    <mergeCell ref="O77:P77"/>
    <mergeCell ref="O76:P76"/>
    <mergeCell ref="O75:P75"/>
    <mergeCell ref="O74:P74"/>
    <mergeCell ref="O73:P73"/>
    <mergeCell ref="O72:P72"/>
    <mergeCell ref="O71:P71"/>
    <mergeCell ref="O54:P54"/>
    <mergeCell ref="O53:P53"/>
    <mergeCell ref="O59:P59"/>
    <mergeCell ref="O60:P60"/>
    <mergeCell ref="O61:P61"/>
    <mergeCell ref="O62:P62"/>
    <mergeCell ref="O63:P63"/>
    <mergeCell ref="O43:P43"/>
    <mergeCell ref="O44:P44"/>
    <mergeCell ref="O56:P56"/>
    <mergeCell ref="O57:P57"/>
    <mergeCell ref="G175:J175"/>
    <mergeCell ref="C137:C176"/>
    <mergeCell ref="G141:J141"/>
    <mergeCell ref="G142:J142"/>
    <mergeCell ref="G143:J143"/>
    <mergeCell ref="G144:J144"/>
    <mergeCell ref="G145:J145"/>
    <mergeCell ref="G146:J146"/>
    <mergeCell ref="G147:J147"/>
    <mergeCell ref="G148:J148"/>
    <mergeCell ref="G149:J149"/>
    <mergeCell ref="G176:J176"/>
    <mergeCell ref="G140:J140"/>
    <mergeCell ref="G157:J157"/>
    <mergeCell ref="G158:J158"/>
    <mergeCell ref="G159:J159"/>
    <mergeCell ref="G137:J137"/>
    <mergeCell ref="G138:J138"/>
    <mergeCell ref="G139:J139"/>
    <mergeCell ref="G160:J160"/>
    <mergeCell ref="G161:J161"/>
    <mergeCell ref="G150:J150"/>
    <mergeCell ref="G168:J168"/>
    <mergeCell ref="G169:J169"/>
  </mergeCells>
  <phoneticPr fontId="17" type="noConversion"/>
  <conditionalFormatting sqref="D38:E38 D39:F120 D121:E121 D122:F151 D152:E152 D153:F176">
    <cfRule type="expression" dxfId="60" priority="63">
      <formula>$D38=0</formula>
    </cfRule>
  </conditionalFormatting>
  <conditionalFormatting sqref="D12:F37">
    <cfRule type="expression" dxfId="59" priority="8">
      <formula>$D12=0</formula>
    </cfRule>
  </conditionalFormatting>
  <conditionalFormatting sqref="G135">
    <cfRule type="expression" dxfId="58" priority="462">
      <formula>$D135=0</formula>
    </cfRule>
  </conditionalFormatting>
  <conditionalFormatting sqref="G141:G142 G145:G146">
    <cfRule type="expression" dxfId="57" priority="73">
      <formula>$D141=0</formula>
    </cfRule>
  </conditionalFormatting>
  <conditionalFormatting sqref="G149:G176">
    <cfRule type="expression" dxfId="56" priority="1">
      <formula>$D149=0</formula>
    </cfRule>
  </conditionalFormatting>
  <conditionalFormatting sqref="G136:J140">
    <cfRule type="expression" dxfId="55" priority="2">
      <formula>$D136=0</formula>
    </cfRule>
  </conditionalFormatting>
  <conditionalFormatting sqref="G143:J144">
    <cfRule type="expression" dxfId="54" priority="12">
      <formula>$D143=0</formula>
    </cfRule>
  </conditionalFormatting>
  <conditionalFormatting sqref="G147:J148">
    <cfRule type="expression" dxfId="53" priority="10">
      <formula>$D147=0</formula>
    </cfRule>
  </conditionalFormatting>
  <conditionalFormatting sqref="K12:K176">
    <cfRule type="expression" dxfId="52" priority="4">
      <formula>$D12=0</formula>
    </cfRule>
  </conditionalFormatting>
  <conditionalFormatting sqref="L166:O173 P168:Q170 P171:P173 L174:T175">
    <cfRule type="expression" dxfId="51" priority="465">
      <formula>$D166=0</formula>
    </cfRule>
  </conditionalFormatting>
  <conditionalFormatting sqref="L59:R63">
    <cfRule type="expression" dxfId="50" priority="443">
      <formula>$D59=0</formula>
    </cfRule>
  </conditionalFormatting>
  <conditionalFormatting sqref="L12:T21">
    <cfRule type="expression" dxfId="49" priority="418">
      <formula>$D12=0</formula>
    </cfRule>
  </conditionalFormatting>
  <conditionalFormatting sqref="L25:T57">
    <cfRule type="expression" dxfId="48" priority="9">
      <formula>$D25=0</formula>
    </cfRule>
  </conditionalFormatting>
  <conditionalFormatting sqref="L64:T140">
    <cfRule type="expression" dxfId="47" priority="442">
      <formula>$D64=0</formula>
    </cfRule>
  </conditionalFormatting>
  <conditionalFormatting sqref="L144:T165">
    <cfRule type="expression" dxfId="46" priority="446">
      <formula>$D144=0</formula>
    </cfRule>
  </conditionalFormatting>
  <conditionalFormatting sqref="M22:T23">
    <cfRule type="expression" dxfId="45" priority="500">
      <formula>$D22=0</formula>
    </cfRule>
  </conditionalFormatting>
  <conditionalFormatting sqref="P166:T167 Q171:Q172 R172:S172 T172:T173 Q173:S173">
    <cfRule type="expression" dxfId="44" priority="468">
      <formula>$D166=0</formula>
    </cfRule>
  </conditionalFormatting>
  <conditionalFormatting sqref="R145:R146">
    <cfRule type="expression" dxfId="43" priority="535">
      <formula>$D145=0</formula>
    </cfRule>
  </conditionalFormatting>
  <conditionalFormatting sqref="R141:T144">
    <cfRule type="expression" dxfId="42" priority="515">
      <formula>$D141=0</formula>
    </cfRule>
  </conditionalFormatting>
  <conditionalFormatting sqref="R168:T171">
    <cfRule type="expression" dxfId="41" priority="292">
      <formula>$D168=0</formula>
    </cfRule>
  </conditionalFormatting>
  <conditionalFormatting sqref="U12:U23 G12:J134 L22:L24 L24:U24 U25:U133 L58:Q58 R58:T59 S60:T63 U137:U176 L141:Q143 L176:W176">
    <cfRule type="expression" dxfId="40" priority="537">
      <formula>$D12=0</formula>
    </cfRule>
  </conditionalFormatting>
  <conditionalFormatting sqref="U134:W136">
    <cfRule type="expression" dxfId="39" priority="17">
      <formula>$D134=0</formula>
    </cfRule>
  </conditionalFormatting>
  <conditionalFormatting sqref="V12:W37 V38:V39 V40:W76 V77 V78:W78 V79 V80:W133 V137:W175">
    <cfRule type="expression" dxfId="38" priority="161">
      <formula>$D12=0</formula>
    </cfRule>
  </conditionalFormatting>
  <printOptions horizontalCentered="1" verticalCentered="1"/>
  <pageMargins left="0" right="0" top="0" bottom="0" header="0" footer="0"/>
  <pageSetup paperSize="9" scale="44" fitToHeight="0" orientation="landscape" r:id="rId1"/>
  <headerFooter>
    <oddFooter>&amp;C&amp;1#&amp;"Arial Black"&amp;11&amp;K737373PÚBLICA</oddFooter>
  </headerFooter>
  <ignoredErrors>
    <ignoredError sqref="B176" evalError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Dropdown!$C$3:$C$43</xm:f>
          </x14:formula1>
          <xm:sqref>K12:K67 K69:K176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pageSetUpPr fitToPage="1"/>
  </sheetPr>
  <dimension ref="A1:Z54"/>
  <sheetViews>
    <sheetView showGridLines="0" zoomScale="70" zoomScaleNormal="70" workbookViewId="0">
      <selection activeCell="E2" sqref="E2"/>
    </sheetView>
  </sheetViews>
  <sheetFormatPr defaultColWidth="0" defaultRowHeight="0" customHeight="1" zeroHeight="1"/>
  <cols>
    <col min="1" max="1" width="0.85546875" style="128" customWidth="1"/>
    <col min="2" max="2" width="8.5703125" style="132" customWidth="1"/>
    <col min="3" max="4" width="13.5703125" style="132" customWidth="1"/>
    <col min="5" max="5" width="0.85546875" style="132" customWidth="1"/>
    <col min="6" max="10" width="13.5703125" style="132" customWidth="1"/>
    <col min="11" max="11" width="17.5703125" style="132" customWidth="1"/>
    <col min="12" max="12" width="6.5703125" style="132" customWidth="1"/>
    <col min="13" max="13" width="0.85546875" style="132" customWidth="1"/>
    <col min="14" max="14" width="13.85546875" style="132" customWidth="1"/>
    <col min="15" max="17" width="13.5703125" style="132" customWidth="1"/>
    <col min="18" max="19" width="13.5703125" style="128" customWidth="1"/>
    <col min="20" max="20" width="26.5703125" style="128" customWidth="1"/>
    <col min="21" max="21" width="0.85546875" style="128" customWidth="1"/>
    <col min="22" max="26" width="0" style="128" hidden="1" customWidth="1"/>
    <col min="27" max="16384" width="9.140625" style="128" hidden="1"/>
  </cols>
  <sheetData>
    <row r="1" spans="2:20" ht="5.0999999999999996" customHeight="1" thickBot="1"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</row>
    <row r="2" spans="2:20" ht="5.0999999999999996" customHeight="1" thickBot="1">
      <c r="B2" s="457"/>
      <c r="C2" s="458"/>
      <c r="D2" s="458"/>
      <c r="E2" s="158"/>
      <c r="F2" s="129"/>
      <c r="G2" s="129"/>
      <c r="H2" s="129"/>
      <c r="I2" s="129"/>
      <c r="J2" s="129"/>
      <c r="K2" s="129"/>
      <c r="L2" s="129"/>
      <c r="M2" s="158"/>
      <c r="N2" s="130"/>
      <c r="O2" s="130"/>
      <c r="P2" s="130"/>
      <c r="Q2" s="130"/>
      <c r="R2" s="130"/>
      <c r="S2" s="130"/>
      <c r="T2" s="131"/>
    </row>
    <row r="3" spans="2:20" ht="30" customHeight="1" thickBot="1">
      <c r="B3" s="38"/>
      <c r="C3" s="39"/>
      <c r="D3" s="40"/>
      <c r="E3" s="3"/>
      <c r="F3" s="345" t="str">
        <f>Geral!F3</f>
        <v>Controle de Equipamentos Offshore</v>
      </c>
      <c r="G3" s="345"/>
      <c r="H3" s="345"/>
      <c r="I3" s="345"/>
      <c r="J3" s="345"/>
      <c r="K3" s="345"/>
      <c r="L3" s="345"/>
      <c r="M3" s="3"/>
      <c r="N3" s="344" t="str">
        <f>Geral!Q3</f>
        <v>Equipe a bordo</v>
      </c>
      <c r="O3" s="345"/>
      <c r="P3" s="345"/>
      <c r="Q3" s="345"/>
      <c r="R3" s="345"/>
      <c r="S3" s="345"/>
      <c r="T3" s="346"/>
    </row>
    <row r="4" spans="2:20" ht="5.0999999999999996" customHeight="1" thickBot="1">
      <c r="B4" s="38"/>
      <c r="C4" s="39"/>
      <c r="D4" s="40"/>
      <c r="E4" s="3"/>
      <c r="F4" s="19"/>
      <c r="G4" s="19"/>
      <c r="H4" s="19"/>
      <c r="I4" s="19"/>
      <c r="J4" s="19"/>
      <c r="K4" s="19"/>
      <c r="L4" s="19"/>
      <c r="M4" s="3"/>
      <c r="N4" s="413"/>
      <c r="O4" s="414"/>
      <c r="P4" s="414"/>
      <c r="Q4" s="414"/>
      <c r="R4" s="414"/>
      <c r="S4" s="414"/>
      <c r="T4" s="415"/>
    </row>
    <row r="5" spans="2:20" ht="20.100000000000001" customHeight="1" thickBot="1">
      <c r="B5" s="38"/>
      <c r="C5" s="39"/>
      <c r="D5" s="40"/>
      <c r="E5" s="36"/>
      <c r="F5" s="35" t="str">
        <f>Geral!F5</f>
        <v>Sonda:</v>
      </c>
      <c r="G5" s="474" t="str">
        <f>Geral!G5</f>
        <v>SS-73</v>
      </c>
      <c r="H5" s="475"/>
      <c r="I5" s="19"/>
      <c r="J5" s="2" t="str">
        <f>Geral!L5</f>
        <v>Poço:</v>
      </c>
      <c r="K5" s="474" t="str">
        <f>Geral!M5</f>
        <v>7-BAZ-3-ESS</v>
      </c>
      <c r="L5" s="475"/>
      <c r="M5" s="3"/>
      <c r="N5" s="476" t="str">
        <f>Geral!Q5</f>
        <v xml:space="preserve">Supervisor </v>
      </c>
      <c r="O5" s="477"/>
      <c r="P5" s="478" t="str">
        <f>Geral!S5</f>
        <v xml:space="preserve">JACKSON FERREIRA </v>
      </c>
      <c r="Q5" s="478"/>
      <c r="R5" s="476" t="str">
        <f>Geral!U5</f>
        <v xml:space="preserve">Supervisor </v>
      </c>
      <c r="S5" s="477"/>
      <c r="T5" s="23" t="str">
        <f>Geral!W5</f>
        <v>RAFAEL DAMÁSIO</v>
      </c>
    </row>
    <row r="6" spans="2:20" ht="20.100000000000001" customHeight="1" thickBot="1">
      <c r="B6" s="38"/>
      <c r="C6" s="39"/>
      <c r="D6" s="40"/>
      <c r="E6" s="3"/>
      <c r="F6" s="18"/>
      <c r="G6" s="18" t="s">
        <v>324</v>
      </c>
      <c r="H6" s="18"/>
      <c r="I6" s="19"/>
      <c r="J6" s="18"/>
      <c r="K6" s="18"/>
      <c r="L6" s="18"/>
      <c r="M6" s="4"/>
      <c r="N6" s="471" t="str">
        <f>Geral!Q6</f>
        <v>Técnico</v>
      </c>
      <c r="O6" s="472"/>
      <c r="P6" s="479" t="str">
        <f>Geral!S6</f>
        <v>YASMIN FERREIRA</v>
      </c>
      <c r="Q6" s="479"/>
      <c r="R6" s="471" t="str">
        <f>Geral!U6</f>
        <v>Técnico</v>
      </c>
      <c r="S6" s="472"/>
      <c r="T6" s="24" t="str">
        <f>Geral!W7</f>
        <v>WAGNER SMITH</v>
      </c>
    </row>
    <row r="7" spans="2:20" ht="20.100000000000001" customHeight="1" thickBot="1">
      <c r="B7" s="41"/>
      <c r="C7" s="42"/>
      <c r="D7" s="43"/>
      <c r="E7" s="36"/>
      <c r="F7" s="35" t="str">
        <f>Geral!F7</f>
        <v>Data:</v>
      </c>
      <c r="G7" s="480">
        <f>Geral!G7</f>
        <v>46206</v>
      </c>
      <c r="H7" s="481"/>
      <c r="I7" s="19"/>
      <c r="J7" s="2" t="str">
        <f>Geral!L7</f>
        <v>Campo:</v>
      </c>
      <c r="K7" s="474" t="str">
        <f>Geral!M7</f>
        <v>BALEIA AZUL</v>
      </c>
      <c r="L7" s="475"/>
      <c r="M7" s="4"/>
      <c r="N7" s="471" t="str">
        <f>Geral!Q7</f>
        <v>Técnico</v>
      </c>
      <c r="O7" s="472"/>
      <c r="P7" s="470" t="str">
        <f>Geral!S7</f>
        <v xml:space="preserve">GENIS DA HORA </v>
      </c>
      <c r="Q7" s="470"/>
      <c r="R7" s="471" t="str">
        <f>Geral!U7</f>
        <v>Técnico</v>
      </c>
      <c r="S7" s="472"/>
      <c r="T7" s="25" t="e">
        <f>Geral!#REF!</f>
        <v>#REF!</v>
      </c>
    </row>
    <row r="8" spans="2:20" ht="5.0999999999999996" customHeight="1" thickBot="1">
      <c r="B8" s="44"/>
      <c r="C8" s="45"/>
      <c r="D8" s="45"/>
      <c r="E8" s="7"/>
      <c r="F8" s="431"/>
      <c r="G8" s="431"/>
      <c r="H8" s="431"/>
      <c r="I8" s="431"/>
      <c r="J8" s="431"/>
      <c r="K8" s="431"/>
      <c r="L8" s="431"/>
      <c r="M8" s="431"/>
      <c r="N8" s="431"/>
      <c r="O8" s="431"/>
      <c r="P8" s="431"/>
      <c r="Q8" s="431"/>
      <c r="R8" s="431"/>
      <c r="S8" s="431"/>
      <c r="T8" s="438"/>
    </row>
    <row r="9" spans="2:20" s="133" customFormat="1" ht="24.95" customHeight="1" thickBot="1">
      <c r="B9" s="344" t="s">
        <v>17</v>
      </c>
      <c r="C9" s="345"/>
      <c r="D9" s="345"/>
      <c r="E9" s="345"/>
      <c r="F9" s="345"/>
      <c r="G9" s="345"/>
      <c r="H9" s="345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6"/>
    </row>
    <row r="10" spans="2:20" ht="5.0999999999999996" customHeight="1" thickBot="1">
      <c r="B10" s="430"/>
      <c r="C10" s="431"/>
      <c r="D10" s="431"/>
      <c r="E10" s="431"/>
      <c r="F10" s="431"/>
      <c r="G10" s="431"/>
      <c r="H10" s="431"/>
      <c r="I10" s="431"/>
      <c r="J10" s="431"/>
      <c r="K10" s="431"/>
      <c r="L10" s="431"/>
      <c r="M10" s="431"/>
      <c r="N10" s="431"/>
      <c r="O10" s="431"/>
      <c r="P10" s="431"/>
      <c r="Q10" s="431"/>
      <c r="R10" s="431"/>
      <c r="S10" s="431"/>
      <c r="T10" s="431"/>
    </row>
    <row r="11" spans="2:20" ht="30" customHeight="1" thickBot="1">
      <c r="B11" s="156" t="s">
        <v>18</v>
      </c>
      <c r="C11" s="122" t="s">
        <v>325</v>
      </c>
      <c r="D11" s="122" t="s">
        <v>21</v>
      </c>
      <c r="E11" s="436" t="s">
        <v>22</v>
      </c>
      <c r="F11" s="437"/>
      <c r="G11" s="436" t="s">
        <v>326</v>
      </c>
      <c r="H11" s="450"/>
      <c r="I11" s="450"/>
      <c r="J11" s="450"/>
      <c r="K11" s="437"/>
      <c r="L11" s="436" t="s">
        <v>327</v>
      </c>
      <c r="M11" s="450"/>
      <c r="N11" s="450"/>
      <c r="O11" s="437"/>
      <c r="P11" s="436" t="s">
        <v>328</v>
      </c>
      <c r="Q11" s="437"/>
      <c r="R11" s="436" t="s">
        <v>329</v>
      </c>
      <c r="S11" s="450"/>
      <c r="T11" s="437"/>
    </row>
    <row r="12" spans="2:20" ht="24.95" customHeight="1" thickBot="1">
      <c r="B12" s="52">
        <v>1</v>
      </c>
      <c r="C12" s="61">
        <v>1</v>
      </c>
      <c r="D12" s="60" t="s">
        <v>37</v>
      </c>
      <c r="E12" s="448" t="s">
        <v>37</v>
      </c>
      <c r="F12" s="449"/>
      <c r="G12" s="442" t="s">
        <v>330</v>
      </c>
      <c r="H12" s="443"/>
      <c r="I12" s="443"/>
      <c r="J12" s="443"/>
      <c r="K12" s="444"/>
      <c r="L12" s="351" t="s">
        <v>37</v>
      </c>
      <c r="M12" s="468"/>
      <c r="N12" s="468"/>
      <c r="O12" s="352"/>
      <c r="P12" s="351" t="s">
        <v>331</v>
      </c>
      <c r="Q12" s="352"/>
      <c r="R12" s="459" t="s">
        <v>332</v>
      </c>
      <c r="S12" s="460"/>
      <c r="T12" s="461"/>
    </row>
    <row r="13" spans="2:20" ht="24.95" customHeight="1" thickBot="1">
      <c r="B13" s="57">
        <v>2</v>
      </c>
      <c r="C13" s="61">
        <v>1</v>
      </c>
      <c r="D13" s="60" t="s">
        <v>37</v>
      </c>
      <c r="E13" s="448" t="s">
        <v>37</v>
      </c>
      <c r="F13" s="449"/>
      <c r="G13" s="442" t="s">
        <v>333</v>
      </c>
      <c r="H13" s="443"/>
      <c r="I13" s="443"/>
      <c r="J13" s="443"/>
      <c r="K13" s="444"/>
      <c r="L13" s="351" t="s">
        <v>37</v>
      </c>
      <c r="M13" s="468"/>
      <c r="N13" s="468"/>
      <c r="O13" s="352"/>
      <c r="P13" s="351" t="s">
        <v>331</v>
      </c>
      <c r="Q13" s="352"/>
      <c r="R13" s="459" t="s">
        <v>332</v>
      </c>
      <c r="S13" s="460"/>
      <c r="T13" s="461"/>
    </row>
    <row r="14" spans="2:20" ht="24.95" customHeight="1" thickBot="1">
      <c r="B14" s="57">
        <v>3</v>
      </c>
      <c r="C14" s="61">
        <v>1</v>
      </c>
      <c r="D14" s="60" t="s">
        <v>37</v>
      </c>
      <c r="E14" s="448" t="s">
        <v>37</v>
      </c>
      <c r="F14" s="449"/>
      <c r="G14" s="442" t="s">
        <v>334</v>
      </c>
      <c r="H14" s="443"/>
      <c r="I14" s="443"/>
      <c r="J14" s="443"/>
      <c r="K14" s="444"/>
      <c r="L14" s="351" t="s">
        <v>37</v>
      </c>
      <c r="M14" s="468"/>
      <c r="N14" s="468"/>
      <c r="O14" s="352"/>
      <c r="P14" s="351" t="s">
        <v>331</v>
      </c>
      <c r="Q14" s="352"/>
      <c r="R14" s="459" t="s">
        <v>335</v>
      </c>
      <c r="S14" s="460"/>
      <c r="T14" s="461"/>
    </row>
    <row r="15" spans="2:20" ht="24.95" customHeight="1" thickBot="1">
      <c r="B15" s="57">
        <v>4</v>
      </c>
      <c r="C15" s="61">
        <v>1</v>
      </c>
      <c r="D15" s="60" t="s">
        <v>37</v>
      </c>
      <c r="E15" s="448" t="s">
        <v>37</v>
      </c>
      <c r="F15" s="449"/>
      <c r="G15" s="442" t="s">
        <v>336</v>
      </c>
      <c r="H15" s="443"/>
      <c r="I15" s="443"/>
      <c r="J15" s="443"/>
      <c r="K15" s="444"/>
      <c r="L15" s="351" t="s">
        <v>37</v>
      </c>
      <c r="M15" s="468"/>
      <c r="N15" s="468"/>
      <c r="O15" s="352"/>
      <c r="P15" s="351" t="s">
        <v>331</v>
      </c>
      <c r="Q15" s="352"/>
      <c r="R15" s="459" t="s">
        <v>337</v>
      </c>
      <c r="S15" s="460"/>
      <c r="T15" s="461"/>
    </row>
    <row r="16" spans="2:20" ht="24.95" customHeight="1" thickBot="1">
      <c r="B16" s="57">
        <v>5</v>
      </c>
      <c r="C16" s="61">
        <v>1</v>
      </c>
      <c r="D16" s="60" t="s">
        <v>37</v>
      </c>
      <c r="E16" s="448" t="s">
        <v>37</v>
      </c>
      <c r="F16" s="449"/>
      <c r="G16" s="442" t="s">
        <v>338</v>
      </c>
      <c r="H16" s="443"/>
      <c r="I16" s="443"/>
      <c r="J16" s="443"/>
      <c r="K16" s="444"/>
      <c r="L16" s="351" t="s">
        <v>37</v>
      </c>
      <c r="M16" s="468"/>
      <c r="N16" s="468"/>
      <c r="O16" s="352"/>
      <c r="P16" s="351" t="s">
        <v>37</v>
      </c>
      <c r="Q16" s="352"/>
      <c r="R16" s="459" t="s">
        <v>339</v>
      </c>
      <c r="S16" s="460"/>
      <c r="T16" s="461"/>
    </row>
    <row r="17" spans="2:21" ht="24.95" customHeight="1" thickBot="1">
      <c r="B17" s="57">
        <v>6</v>
      </c>
      <c r="C17" s="61">
        <v>1</v>
      </c>
      <c r="D17" s="60" t="s">
        <v>37</v>
      </c>
      <c r="E17" s="448" t="s">
        <v>37</v>
      </c>
      <c r="F17" s="449"/>
      <c r="G17" s="442" t="s">
        <v>340</v>
      </c>
      <c r="H17" s="443"/>
      <c r="I17" s="443"/>
      <c r="J17" s="443"/>
      <c r="K17" s="444"/>
      <c r="L17" s="351" t="s">
        <v>37</v>
      </c>
      <c r="M17" s="468"/>
      <c r="N17" s="468"/>
      <c r="O17" s="352"/>
      <c r="P17" s="351" t="s">
        <v>331</v>
      </c>
      <c r="Q17" s="352"/>
      <c r="R17" s="459" t="s">
        <v>341</v>
      </c>
      <c r="S17" s="460"/>
      <c r="T17" s="461"/>
    </row>
    <row r="18" spans="2:21" ht="60" customHeight="1" thickBot="1">
      <c r="B18" s="57">
        <v>7</v>
      </c>
      <c r="C18" s="61">
        <v>1</v>
      </c>
      <c r="D18" s="60" t="s">
        <v>37</v>
      </c>
      <c r="E18" s="448" t="s">
        <v>37</v>
      </c>
      <c r="F18" s="449"/>
      <c r="G18" s="442" t="s">
        <v>342</v>
      </c>
      <c r="H18" s="443"/>
      <c r="I18" s="443"/>
      <c r="J18" s="443"/>
      <c r="K18" s="444"/>
      <c r="L18" s="351" t="s">
        <v>343</v>
      </c>
      <c r="M18" s="468"/>
      <c r="N18" s="468"/>
      <c r="O18" s="352"/>
      <c r="P18" s="351" t="s">
        <v>331</v>
      </c>
      <c r="Q18" s="352"/>
      <c r="R18" s="459" t="s">
        <v>339</v>
      </c>
      <c r="S18" s="460"/>
      <c r="T18" s="461"/>
    </row>
    <row r="19" spans="2:21" ht="24.95" customHeight="1" thickBot="1">
      <c r="B19" s="57">
        <v>8</v>
      </c>
      <c r="C19" s="61">
        <v>1</v>
      </c>
      <c r="D19" s="60" t="s">
        <v>37</v>
      </c>
      <c r="E19" s="448" t="s">
        <v>37</v>
      </c>
      <c r="F19" s="449"/>
      <c r="G19" s="442" t="s">
        <v>344</v>
      </c>
      <c r="H19" s="443"/>
      <c r="I19" s="443"/>
      <c r="J19" s="443"/>
      <c r="K19" s="444"/>
      <c r="L19" s="353" t="s">
        <v>345</v>
      </c>
      <c r="M19" s="469"/>
      <c r="N19" s="469"/>
      <c r="O19" s="354"/>
      <c r="P19" s="351" t="s">
        <v>331</v>
      </c>
      <c r="Q19" s="352"/>
      <c r="R19" s="459" t="s">
        <v>346</v>
      </c>
      <c r="S19" s="460"/>
      <c r="T19" s="461"/>
      <c r="U19" s="128" t="s">
        <v>347</v>
      </c>
    </row>
    <row r="20" spans="2:21" ht="24.95" customHeight="1" thickBot="1">
      <c r="B20" s="57"/>
      <c r="C20" s="61">
        <v>0</v>
      </c>
      <c r="D20" s="60" t="s">
        <v>37</v>
      </c>
      <c r="E20" s="448" t="s">
        <v>37</v>
      </c>
      <c r="F20" s="449"/>
      <c r="G20" s="442" t="s">
        <v>348</v>
      </c>
      <c r="H20" s="443"/>
      <c r="I20" s="443"/>
      <c r="J20" s="443"/>
      <c r="K20" s="444"/>
      <c r="L20" s="351" t="s">
        <v>37</v>
      </c>
      <c r="M20" s="468"/>
      <c r="N20" s="468"/>
      <c r="O20" s="352"/>
      <c r="P20" s="351" t="s">
        <v>37</v>
      </c>
      <c r="Q20" s="352"/>
      <c r="R20" s="459"/>
      <c r="S20" s="460"/>
      <c r="T20" s="461"/>
    </row>
    <row r="21" spans="2:21" ht="24.95" customHeight="1" thickBot="1">
      <c r="B21" s="57"/>
      <c r="C21" s="61">
        <v>2</v>
      </c>
      <c r="D21" s="60" t="s">
        <v>37</v>
      </c>
      <c r="E21" s="448" t="s">
        <v>37</v>
      </c>
      <c r="F21" s="449"/>
      <c r="G21" s="442" t="s">
        <v>349</v>
      </c>
      <c r="H21" s="443"/>
      <c r="I21" s="443"/>
      <c r="J21" s="443"/>
      <c r="K21" s="444"/>
      <c r="L21" s="351" t="s">
        <v>350</v>
      </c>
      <c r="M21" s="468"/>
      <c r="N21" s="468"/>
      <c r="O21" s="352"/>
      <c r="P21" s="351" t="s">
        <v>331</v>
      </c>
      <c r="Q21" s="352"/>
      <c r="R21" s="459" t="s">
        <v>351</v>
      </c>
      <c r="S21" s="460"/>
      <c r="T21" s="461"/>
    </row>
    <row r="22" spans="2:21" ht="24.95" customHeight="1" thickBot="1">
      <c r="B22" s="57"/>
      <c r="C22" s="61">
        <v>1</v>
      </c>
      <c r="D22" s="60" t="s">
        <v>37</v>
      </c>
      <c r="E22" s="448" t="s">
        <v>37</v>
      </c>
      <c r="F22" s="449"/>
      <c r="G22" s="442" t="s">
        <v>352</v>
      </c>
      <c r="H22" s="443"/>
      <c r="I22" s="443"/>
      <c r="J22" s="443"/>
      <c r="K22" s="444"/>
      <c r="L22" s="351" t="s">
        <v>37</v>
      </c>
      <c r="M22" s="468"/>
      <c r="N22" s="468"/>
      <c r="O22" s="352"/>
      <c r="P22" s="351" t="s">
        <v>331</v>
      </c>
      <c r="Q22" s="352"/>
      <c r="R22" s="459" t="s">
        <v>341</v>
      </c>
      <c r="S22" s="460"/>
      <c r="T22" s="461"/>
    </row>
    <row r="23" spans="2:21" ht="24.95" customHeight="1" thickBot="1">
      <c r="B23" s="57"/>
      <c r="C23" s="61">
        <v>1</v>
      </c>
      <c r="D23" s="60" t="s">
        <v>37</v>
      </c>
      <c r="E23" s="448" t="s">
        <v>37</v>
      </c>
      <c r="F23" s="449"/>
      <c r="G23" s="442" t="s">
        <v>353</v>
      </c>
      <c r="H23" s="443"/>
      <c r="I23" s="443"/>
      <c r="J23" s="443"/>
      <c r="K23" s="444"/>
      <c r="L23" s="351" t="s">
        <v>37</v>
      </c>
      <c r="M23" s="468"/>
      <c r="N23" s="468"/>
      <c r="O23" s="352"/>
      <c r="P23" s="351" t="s">
        <v>331</v>
      </c>
      <c r="Q23" s="352"/>
      <c r="R23" s="459" t="s">
        <v>354</v>
      </c>
      <c r="S23" s="460"/>
      <c r="T23" s="461"/>
    </row>
    <row r="24" spans="2:21" ht="24.95" customHeight="1" thickBot="1">
      <c r="B24" s="57">
        <f t="shared" ref="B24:B52" si="0">IF(G24="","",B23+1)</f>
        <v>1</v>
      </c>
      <c r="C24" s="61">
        <v>1</v>
      </c>
      <c r="D24" s="60" t="s">
        <v>37</v>
      </c>
      <c r="E24" s="448" t="s">
        <v>37</v>
      </c>
      <c r="F24" s="449"/>
      <c r="G24" s="442" t="s">
        <v>355</v>
      </c>
      <c r="H24" s="443"/>
      <c r="I24" s="443"/>
      <c r="J24" s="443"/>
      <c r="K24" s="444"/>
      <c r="L24" s="351" t="s">
        <v>37</v>
      </c>
      <c r="M24" s="468"/>
      <c r="N24" s="468"/>
      <c r="O24" s="352"/>
      <c r="P24" s="351" t="s">
        <v>331</v>
      </c>
      <c r="Q24" s="352"/>
      <c r="R24" s="459" t="s">
        <v>356</v>
      </c>
      <c r="S24" s="460"/>
      <c r="T24" s="461"/>
    </row>
    <row r="25" spans="2:21" ht="24.95" customHeight="1">
      <c r="B25" s="57">
        <f t="shared" si="0"/>
        <v>2</v>
      </c>
      <c r="C25" s="61">
        <v>1</v>
      </c>
      <c r="D25" s="60" t="s">
        <v>37</v>
      </c>
      <c r="E25" s="448" t="s">
        <v>37</v>
      </c>
      <c r="F25" s="449"/>
      <c r="G25" s="442" t="s">
        <v>357</v>
      </c>
      <c r="H25" s="443"/>
      <c r="I25" s="443"/>
      <c r="J25" s="443"/>
      <c r="K25" s="444"/>
      <c r="L25" s="351" t="s">
        <v>37</v>
      </c>
      <c r="M25" s="468"/>
      <c r="N25" s="468"/>
      <c r="O25" s="352"/>
      <c r="P25" s="351" t="s">
        <v>331</v>
      </c>
      <c r="Q25" s="352"/>
      <c r="R25" s="459" t="s">
        <v>341</v>
      </c>
      <c r="S25" s="460"/>
      <c r="T25" s="461"/>
    </row>
    <row r="26" spans="2:21" ht="24.95" customHeight="1">
      <c r="B26" s="57">
        <f t="shared" si="0"/>
        <v>3</v>
      </c>
      <c r="C26" s="61">
        <v>10</v>
      </c>
      <c r="D26" s="60" t="s">
        <v>37</v>
      </c>
      <c r="E26" s="229" t="s">
        <v>37</v>
      </c>
      <c r="F26" s="230" t="s">
        <v>37</v>
      </c>
      <c r="G26" s="442" t="s">
        <v>358</v>
      </c>
      <c r="H26" s="443"/>
      <c r="I26" s="443"/>
      <c r="J26" s="443"/>
      <c r="K26" s="444"/>
      <c r="L26" s="351" t="s">
        <v>37</v>
      </c>
      <c r="M26" s="468"/>
      <c r="N26" s="468"/>
      <c r="O26" s="352"/>
      <c r="P26" s="351" t="s">
        <v>359</v>
      </c>
      <c r="Q26" s="352"/>
      <c r="R26" s="459" t="s">
        <v>360</v>
      </c>
      <c r="S26" s="460"/>
      <c r="T26" s="461"/>
    </row>
    <row r="27" spans="2:21" ht="24.95" customHeight="1">
      <c r="B27" s="57" t="e">
        <f>IF(#REF!="","",B26+1)</f>
        <v>#REF!</v>
      </c>
      <c r="C27" s="61"/>
      <c r="D27" s="60"/>
      <c r="E27" s="448"/>
      <c r="F27" s="449"/>
      <c r="G27" s="442"/>
      <c r="H27" s="443"/>
      <c r="I27" s="443"/>
      <c r="J27" s="443"/>
      <c r="K27" s="444"/>
      <c r="L27" s="351"/>
      <c r="M27" s="468"/>
      <c r="N27" s="468"/>
      <c r="O27" s="352"/>
      <c r="P27" s="351"/>
      <c r="Q27" s="352"/>
      <c r="R27" s="459"/>
      <c r="S27" s="460"/>
      <c r="T27" s="461"/>
    </row>
    <row r="28" spans="2:21" ht="24.95" customHeight="1" thickBot="1">
      <c r="B28" s="134" t="str">
        <f t="shared" si="0"/>
        <v/>
      </c>
      <c r="C28" s="61"/>
      <c r="D28" s="60"/>
      <c r="E28" s="448"/>
      <c r="F28" s="449"/>
      <c r="G28" s="442"/>
      <c r="H28" s="443"/>
      <c r="I28" s="443"/>
      <c r="J28" s="443"/>
      <c r="K28" s="444"/>
      <c r="L28" s="351"/>
      <c r="M28" s="468"/>
      <c r="N28" s="468"/>
      <c r="O28" s="352"/>
      <c r="P28" s="351"/>
      <c r="Q28" s="352"/>
      <c r="R28" s="459"/>
      <c r="S28" s="460"/>
      <c r="T28" s="461"/>
    </row>
    <row r="29" spans="2:21" ht="24.95" customHeight="1" thickBot="1">
      <c r="B29" s="134" t="str">
        <f t="shared" si="0"/>
        <v/>
      </c>
      <c r="C29" s="61"/>
      <c r="D29" s="60"/>
      <c r="E29" s="448"/>
      <c r="F29" s="449"/>
      <c r="G29" s="442"/>
      <c r="H29" s="443"/>
      <c r="I29" s="443"/>
      <c r="J29" s="443"/>
      <c r="K29" s="444"/>
      <c r="L29" s="351"/>
      <c r="M29" s="468"/>
      <c r="N29" s="468"/>
      <c r="O29" s="352"/>
      <c r="P29" s="351"/>
      <c r="Q29" s="352"/>
      <c r="R29" s="459"/>
      <c r="S29" s="460"/>
      <c r="T29" s="461"/>
    </row>
    <row r="30" spans="2:21" ht="24.95" customHeight="1" thickBot="1">
      <c r="B30" s="134" t="str">
        <f t="shared" si="0"/>
        <v/>
      </c>
      <c r="C30" s="47"/>
      <c r="D30" s="46"/>
      <c r="E30" s="448"/>
      <c r="F30" s="449"/>
      <c r="G30" s="439"/>
      <c r="H30" s="440"/>
      <c r="I30" s="440"/>
      <c r="J30" s="440"/>
      <c r="K30" s="441"/>
      <c r="L30" s="462"/>
      <c r="M30" s="466"/>
      <c r="N30" s="466"/>
      <c r="O30" s="463"/>
      <c r="P30" s="462"/>
      <c r="Q30" s="463"/>
      <c r="R30" s="451"/>
      <c r="S30" s="452"/>
      <c r="T30" s="453"/>
    </row>
    <row r="31" spans="2:21" ht="24.95" customHeight="1" thickBot="1">
      <c r="B31" s="134" t="str">
        <f t="shared" si="0"/>
        <v/>
      </c>
      <c r="C31" s="47"/>
      <c r="D31" s="46"/>
      <c r="E31" s="448"/>
      <c r="F31" s="449"/>
      <c r="G31" s="439"/>
      <c r="H31" s="440"/>
      <c r="I31" s="440"/>
      <c r="J31" s="440"/>
      <c r="K31" s="441"/>
      <c r="L31" s="462"/>
      <c r="M31" s="466"/>
      <c r="N31" s="466"/>
      <c r="O31" s="463"/>
      <c r="P31" s="462"/>
      <c r="Q31" s="463"/>
      <c r="R31" s="451"/>
      <c r="S31" s="452"/>
      <c r="T31" s="453"/>
    </row>
    <row r="32" spans="2:21" ht="24.95" customHeight="1">
      <c r="B32" s="134" t="str">
        <f t="shared" si="0"/>
        <v/>
      </c>
      <c r="C32" s="47"/>
      <c r="D32" s="46"/>
      <c r="E32" s="448"/>
      <c r="F32" s="449"/>
      <c r="G32" s="439"/>
      <c r="H32" s="440"/>
      <c r="I32" s="440"/>
      <c r="J32" s="440"/>
      <c r="K32" s="441"/>
      <c r="L32" s="462"/>
      <c r="M32" s="466"/>
      <c r="N32" s="466"/>
      <c r="O32" s="463"/>
      <c r="P32" s="462"/>
      <c r="Q32" s="463"/>
      <c r="R32" s="451"/>
      <c r="S32" s="452"/>
      <c r="T32" s="453"/>
    </row>
    <row r="33" spans="2:20" ht="24.95" customHeight="1">
      <c r="B33" s="134" t="str">
        <f t="shared" si="0"/>
        <v/>
      </c>
      <c r="C33" s="47"/>
      <c r="D33" s="46"/>
      <c r="E33" s="439"/>
      <c r="F33" s="441"/>
      <c r="G33" s="439"/>
      <c r="H33" s="440"/>
      <c r="I33" s="440"/>
      <c r="J33" s="440"/>
      <c r="K33" s="441"/>
      <c r="L33" s="462"/>
      <c r="M33" s="466"/>
      <c r="N33" s="466"/>
      <c r="O33" s="463"/>
      <c r="P33" s="462"/>
      <c r="Q33" s="463"/>
      <c r="R33" s="451"/>
      <c r="S33" s="452"/>
      <c r="T33" s="453"/>
    </row>
    <row r="34" spans="2:20" ht="24.95" customHeight="1">
      <c r="B34" s="134" t="str">
        <f t="shared" si="0"/>
        <v/>
      </c>
      <c r="C34" s="47"/>
      <c r="D34" s="46"/>
      <c r="E34" s="439"/>
      <c r="F34" s="441"/>
      <c r="G34" s="439"/>
      <c r="H34" s="440"/>
      <c r="I34" s="440"/>
      <c r="J34" s="440"/>
      <c r="K34" s="441"/>
      <c r="L34" s="462"/>
      <c r="M34" s="466"/>
      <c r="N34" s="466"/>
      <c r="O34" s="463"/>
      <c r="P34" s="462"/>
      <c r="Q34" s="463"/>
      <c r="R34" s="451"/>
      <c r="S34" s="452"/>
      <c r="T34" s="453"/>
    </row>
    <row r="35" spans="2:20" ht="24.95" customHeight="1">
      <c r="B35" s="134" t="str">
        <f t="shared" si="0"/>
        <v/>
      </c>
      <c r="C35" s="47"/>
      <c r="D35" s="46"/>
      <c r="E35" s="439"/>
      <c r="F35" s="441"/>
      <c r="G35" s="439"/>
      <c r="H35" s="440"/>
      <c r="I35" s="440"/>
      <c r="J35" s="440"/>
      <c r="K35" s="441"/>
      <c r="L35" s="462"/>
      <c r="M35" s="466"/>
      <c r="N35" s="466"/>
      <c r="O35" s="463"/>
      <c r="P35" s="462"/>
      <c r="Q35" s="463"/>
      <c r="R35" s="451"/>
      <c r="S35" s="452"/>
      <c r="T35" s="453"/>
    </row>
    <row r="36" spans="2:20" ht="24.95" customHeight="1">
      <c r="B36" s="134" t="str">
        <f t="shared" si="0"/>
        <v/>
      </c>
      <c r="C36" s="47"/>
      <c r="D36" s="46"/>
      <c r="E36" s="439"/>
      <c r="F36" s="441"/>
      <c r="G36" s="439"/>
      <c r="H36" s="440"/>
      <c r="I36" s="440"/>
      <c r="J36" s="440"/>
      <c r="K36" s="441"/>
      <c r="L36" s="462"/>
      <c r="M36" s="466"/>
      <c r="N36" s="466"/>
      <c r="O36" s="463"/>
      <c r="P36" s="462"/>
      <c r="Q36" s="463"/>
      <c r="R36" s="451"/>
      <c r="S36" s="452"/>
      <c r="T36" s="453"/>
    </row>
    <row r="37" spans="2:20" ht="24.95" customHeight="1">
      <c r="B37" s="134" t="str">
        <f t="shared" si="0"/>
        <v/>
      </c>
      <c r="C37" s="48"/>
      <c r="D37" s="37"/>
      <c r="E37" s="439"/>
      <c r="F37" s="441"/>
      <c r="G37" s="439"/>
      <c r="H37" s="440"/>
      <c r="I37" s="440"/>
      <c r="J37" s="440"/>
      <c r="K37" s="441"/>
      <c r="L37" s="462"/>
      <c r="M37" s="466"/>
      <c r="N37" s="466"/>
      <c r="O37" s="463"/>
      <c r="P37" s="462"/>
      <c r="Q37" s="463"/>
      <c r="R37" s="451"/>
      <c r="S37" s="452"/>
      <c r="T37" s="453"/>
    </row>
    <row r="38" spans="2:20" ht="24.95" customHeight="1">
      <c r="B38" s="134" t="str">
        <f t="shared" si="0"/>
        <v/>
      </c>
      <c r="C38" s="49"/>
      <c r="D38" s="60"/>
      <c r="E38" s="442"/>
      <c r="F38" s="444"/>
      <c r="G38" s="439"/>
      <c r="H38" s="440"/>
      <c r="I38" s="440"/>
      <c r="J38" s="440"/>
      <c r="K38" s="441"/>
      <c r="L38" s="462"/>
      <c r="M38" s="466"/>
      <c r="N38" s="466"/>
      <c r="O38" s="463"/>
      <c r="P38" s="351"/>
      <c r="Q38" s="352"/>
      <c r="R38" s="451"/>
      <c r="S38" s="452"/>
      <c r="T38" s="453"/>
    </row>
    <row r="39" spans="2:20" ht="24.95" customHeight="1">
      <c r="B39" s="134" t="str">
        <f t="shared" si="0"/>
        <v/>
      </c>
      <c r="C39" s="49"/>
      <c r="D39" s="60" t="s">
        <v>250</v>
      </c>
      <c r="E39" s="160"/>
      <c r="F39" s="161"/>
      <c r="G39" s="439"/>
      <c r="H39" s="440"/>
      <c r="I39" s="440"/>
      <c r="J39" s="440"/>
      <c r="K39" s="441"/>
      <c r="L39" s="462"/>
      <c r="M39" s="466"/>
      <c r="N39" s="466"/>
      <c r="O39" s="463"/>
      <c r="P39" s="351"/>
      <c r="Q39" s="352"/>
      <c r="R39" s="451"/>
      <c r="S39" s="452"/>
      <c r="T39" s="453"/>
    </row>
    <row r="40" spans="2:20" ht="24.95" customHeight="1">
      <c r="B40" s="134" t="str">
        <f t="shared" si="0"/>
        <v/>
      </c>
      <c r="C40" s="49"/>
      <c r="D40" s="60" t="s">
        <v>250</v>
      </c>
      <c r="E40" s="442" t="s">
        <v>250</v>
      </c>
      <c r="F40" s="444"/>
      <c r="G40" s="439"/>
      <c r="H40" s="440"/>
      <c r="I40" s="440"/>
      <c r="J40" s="440"/>
      <c r="K40" s="441"/>
      <c r="L40" s="462"/>
      <c r="M40" s="466"/>
      <c r="N40" s="466"/>
      <c r="O40" s="463"/>
      <c r="P40" s="351"/>
      <c r="Q40" s="352"/>
      <c r="R40" s="451"/>
      <c r="S40" s="452"/>
      <c r="T40" s="453"/>
    </row>
    <row r="41" spans="2:20" ht="24.95" customHeight="1">
      <c r="B41" s="134" t="str">
        <f t="shared" si="0"/>
        <v/>
      </c>
      <c r="C41" s="49"/>
      <c r="D41" s="60" t="s">
        <v>250</v>
      </c>
      <c r="E41" s="442" t="s">
        <v>250</v>
      </c>
      <c r="F41" s="444"/>
      <c r="G41" s="439"/>
      <c r="H41" s="440"/>
      <c r="I41" s="440"/>
      <c r="J41" s="440"/>
      <c r="K41" s="441"/>
      <c r="L41" s="462"/>
      <c r="M41" s="466"/>
      <c r="N41" s="466"/>
      <c r="O41" s="463"/>
      <c r="P41" s="351"/>
      <c r="Q41" s="352"/>
      <c r="R41" s="451"/>
      <c r="S41" s="452"/>
      <c r="T41" s="453"/>
    </row>
    <row r="42" spans="2:20" ht="24.95" customHeight="1">
      <c r="B42" s="134" t="str">
        <f t="shared" si="0"/>
        <v/>
      </c>
      <c r="C42" s="49"/>
      <c r="D42" s="60" t="s">
        <v>250</v>
      </c>
      <c r="E42" s="442" t="s">
        <v>250</v>
      </c>
      <c r="F42" s="444"/>
      <c r="G42" s="439"/>
      <c r="H42" s="440"/>
      <c r="I42" s="440"/>
      <c r="J42" s="440"/>
      <c r="K42" s="441"/>
      <c r="L42" s="462"/>
      <c r="M42" s="466"/>
      <c r="N42" s="466"/>
      <c r="O42" s="463"/>
      <c r="P42" s="351"/>
      <c r="Q42" s="352"/>
      <c r="R42" s="451"/>
      <c r="S42" s="452"/>
      <c r="T42" s="453"/>
    </row>
    <row r="43" spans="2:20" ht="24.95" customHeight="1">
      <c r="B43" s="134" t="str">
        <f t="shared" si="0"/>
        <v/>
      </c>
      <c r="C43" s="49"/>
      <c r="D43" s="60" t="s">
        <v>250</v>
      </c>
      <c r="E43" s="442" t="s">
        <v>250</v>
      </c>
      <c r="F43" s="444"/>
      <c r="G43" s="439"/>
      <c r="H43" s="440"/>
      <c r="I43" s="440"/>
      <c r="J43" s="440"/>
      <c r="K43" s="441"/>
      <c r="L43" s="462"/>
      <c r="M43" s="466"/>
      <c r="N43" s="466"/>
      <c r="O43" s="463"/>
      <c r="P43" s="351"/>
      <c r="Q43" s="352"/>
      <c r="R43" s="451"/>
      <c r="S43" s="452"/>
      <c r="T43" s="453"/>
    </row>
    <row r="44" spans="2:20" ht="24.95" customHeight="1">
      <c r="B44" s="134" t="str">
        <f t="shared" si="0"/>
        <v/>
      </c>
      <c r="C44" s="49"/>
      <c r="D44" s="60" t="s">
        <v>250</v>
      </c>
      <c r="E44" s="442" t="s">
        <v>250</v>
      </c>
      <c r="F44" s="444"/>
      <c r="G44" s="439"/>
      <c r="H44" s="440"/>
      <c r="I44" s="440"/>
      <c r="J44" s="440"/>
      <c r="K44" s="441"/>
      <c r="L44" s="462"/>
      <c r="M44" s="466"/>
      <c r="N44" s="466"/>
      <c r="O44" s="463"/>
      <c r="P44" s="351"/>
      <c r="Q44" s="352"/>
      <c r="R44" s="451"/>
      <c r="S44" s="452"/>
      <c r="T44" s="453"/>
    </row>
    <row r="45" spans="2:20" ht="24.95" customHeight="1">
      <c r="B45" s="134" t="str">
        <f t="shared" si="0"/>
        <v/>
      </c>
      <c r="C45" s="49"/>
      <c r="D45" s="60" t="s">
        <v>250</v>
      </c>
      <c r="E45" s="442" t="s">
        <v>250</v>
      </c>
      <c r="F45" s="444"/>
      <c r="G45" s="439"/>
      <c r="H45" s="440"/>
      <c r="I45" s="440"/>
      <c r="J45" s="440"/>
      <c r="K45" s="441"/>
      <c r="L45" s="462"/>
      <c r="M45" s="466"/>
      <c r="N45" s="466"/>
      <c r="O45" s="463"/>
      <c r="P45" s="351"/>
      <c r="Q45" s="352"/>
      <c r="R45" s="451"/>
      <c r="S45" s="452"/>
      <c r="T45" s="453"/>
    </row>
    <row r="46" spans="2:20" ht="24.95" customHeight="1">
      <c r="B46" s="134" t="str">
        <f t="shared" si="0"/>
        <v/>
      </c>
      <c r="C46" s="49"/>
      <c r="D46" s="33"/>
      <c r="E46" s="439"/>
      <c r="F46" s="441"/>
      <c r="G46" s="439"/>
      <c r="H46" s="440"/>
      <c r="I46" s="440"/>
      <c r="J46" s="440"/>
      <c r="K46" s="441"/>
      <c r="L46" s="462"/>
      <c r="M46" s="466"/>
      <c r="N46" s="466"/>
      <c r="O46" s="463"/>
      <c r="P46" s="462"/>
      <c r="Q46" s="463"/>
      <c r="R46" s="451"/>
      <c r="S46" s="452"/>
      <c r="T46" s="453"/>
    </row>
    <row r="47" spans="2:20" ht="24.95" customHeight="1">
      <c r="B47" s="134" t="str">
        <f t="shared" si="0"/>
        <v/>
      </c>
      <c r="C47" s="49"/>
      <c r="D47" s="33"/>
      <c r="E47" s="439"/>
      <c r="F47" s="441"/>
      <c r="G47" s="439"/>
      <c r="H47" s="440"/>
      <c r="I47" s="440"/>
      <c r="J47" s="440"/>
      <c r="K47" s="441"/>
      <c r="L47" s="462"/>
      <c r="M47" s="466"/>
      <c r="N47" s="466"/>
      <c r="O47" s="463"/>
      <c r="P47" s="462"/>
      <c r="Q47" s="463"/>
      <c r="R47" s="451"/>
      <c r="S47" s="452"/>
      <c r="T47" s="453"/>
    </row>
    <row r="48" spans="2:20" ht="24.95" customHeight="1">
      <c r="B48" s="134" t="str">
        <f t="shared" si="0"/>
        <v/>
      </c>
      <c r="C48" s="49"/>
      <c r="D48" s="33"/>
      <c r="E48" s="439"/>
      <c r="F48" s="441"/>
      <c r="G48" s="439"/>
      <c r="H48" s="440"/>
      <c r="I48" s="440"/>
      <c r="J48" s="440"/>
      <c r="K48" s="441"/>
      <c r="L48" s="462"/>
      <c r="M48" s="466"/>
      <c r="N48" s="466"/>
      <c r="O48" s="463"/>
      <c r="P48" s="462"/>
      <c r="Q48" s="463"/>
      <c r="R48" s="451"/>
      <c r="S48" s="452"/>
      <c r="T48" s="453"/>
    </row>
    <row r="49" spans="2:20" ht="24.95" customHeight="1">
      <c r="B49" s="134" t="str">
        <f t="shared" si="0"/>
        <v/>
      </c>
      <c r="C49" s="49"/>
      <c r="D49" s="33"/>
      <c r="E49" s="439"/>
      <c r="F49" s="441"/>
      <c r="G49" s="439"/>
      <c r="H49" s="440"/>
      <c r="I49" s="440"/>
      <c r="J49" s="440"/>
      <c r="K49" s="441"/>
      <c r="L49" s="462"/>
      <c r="M49" s="466"/>
      <c r="N49" s="466"/>
      <c r="O49" s="463"/>
      <c r="P49" s="462"/>
      <c r="Q49" s="463"/>
      <c r="R49" s="451"/>
      <c r="S49" s="452"/>
      <c r="T49" s="453"/>
    </row>
    <row r="50" spans="2:20" ht="24.95" customHeight="1">
      <c r="B50" s="134" t="str">
        <f t="shared" si="0"/>
        <v/>
      </c>
      <c r="C50" s="49"/>
      <c r="D50" s="33"/>
      <c r="E50" s="439"/>
      <c r="F50" s="441"/>
      <c r="G50" s="439"/>
      <c r="H50" s="440"/>
      <c r="I50" s="440"/>
      <c r="J50" s="440"/>
      <c r="K50" s="441"/>
      <c r="L50" s="462"/>
      <c r="M50" s="466"/>
      <c r="N50" s="466"/>
      <c r="O50" s="463"/>
      <c r="P50" s="462"/>
      <c r="Q50" s="463"/>
      <c r="R50" s="451"/>
      <c r="S50" s="452"/>
      <c r="T50" s="453"/>
    </row>
    <row r="51" spans="2:20" ht="24.95" customHeight="1">
      <c r="B51" s="134" t="str">
        <f t="shared" si="0"/>
        <v/>
      </c>
      <c r="C51" s="49"/>
      <c r="D51" s="33"/>
      <c r="E51" s="439"/>
      <c r="F51" s="441"/>
      <c r="G51" s="439"/>
      <c r="H51" s="440"/>
      <c r="I51" s="440"/>
      <c r="J51" s="440"/>
      <c r="K51" s="441"/>
      <c r="L51" s="462"/>
      <c r="M51" s="466"/>
      <c r="N51" s="466"/>
      <c r="O51" s="463"/>
      <c r="P51" s="462"/>
      <c r="Q51" s="463"/>
      <c r="R51" s="451"/>
      <c r="S51" s="452"/>
      <c r="T51" s="453"/>
    </row>
    <row r="52" spans="2:20" ht="24.95" customHeight="1">
      <c r="B52" s="134" t="str">
        <f t="shared" si="0"/>
        <v/>
      </c>
      <c r="C52" s="49"/>
      <c r="D52" s="33"/>
      <c r="E52" s="439"/>
      <c r="F52" s="441"/>
      <c r="G52" s="439"/>
      <c r="H52" s="440"/>
      <c r="I52" s="440"/>
      <c r="J52" s="440"/>
      <c r="K52" s="441"/>
      <c r="L52" s="462"/>
      <c r="M52" s="466"/>
      <c r="N52" s="466"/>
      <c r="O52" s="463"/>
      <c r="P52" s="462"/>
      <c r="Q52" s="463"/>
      <c r="R52" s="451"/>
      <c r="S52" s="452"/>
      <c r="T52" s="453"/>
    </row>
    <row r="53" spans="2:20" ht="24.95" customHeight="1" thickBot="1">
      <c r="B53" s="135" t="str">
        <f>IF(G53="","",B52+1)</f>
        <v/>
      </c>
      <c r="C53" s="50"/>
      <c r="D53" s="34"/>
      <c r="E53" s="445"/>
      <c r="F53" s="447"/>
      <c r="G53" s="445"/>
      <c r="H53" s="446"/>
      <c r="I53" s="446"/>
      <c r="J53" s="446"/>
      <c r="K53" s="447"/>
      <c r="L53" s="464"/>
      <c r="M53" s="467"/>
      <c r="N53" s="467"/>
      <c r="O53" s="465"/>
      <c r="P53" s="464"/>
      <c r="Q53" s="465"/>
      <c r="R53" s="454"/>
      <c r="S53" s="455"/>
      <c r="T53" s="456"/>
    </row>
    <row r="54" spans="2:20" ht="5.0999999999999996" customHeight="1"/>
  </sheetData>
  <sheetProtection algorithmName="SHA-512" hashValue="8LJTomV+Co16Y/kK7kEPnEX6FnTCuu9pcFXb6rCqjgbHEpHxtu7YnItADWAqcis9TaaVYtM06yH+ZngxanYTUg==" saltValue="FYpDkRWGh1lJZCojCM6Jug==" spinCount="100000" sheet="1" objects="1" scenarios="1"/>
  <mergeCells count="234">
    <mergeCell ref="E15:F15"/>
    <mergeCell ref="G15:K15"/>
    <mergeCell ref="L15:O15"/>
    <mergeCell ref="P15:Q15"/>
    <mergeCell ref="R15:T15"/>
    <mergeCell ref="B1:Q1"/>
    <mergeCell ref="F3:L3"/>
    <mergeCell ref="N3:T3"/>
    <mergeCell ref="N4:T4"/>
    <mergeCell ref="G5:H5"/>
    <mergeCell ref="K5:L5"/>
    <mergeCell ref="N5:O5"/>
    <mergeCell ref="P5:Q5"/>
    <mergeCell ref="R5:S5"/>
    <mergeCell ref="F8:T8"/>
    <mergeCell ref="B9:T9"/>
    <mergeCell ref="B10:T10"/>
    <mergeCell ref="L12:O12"/>
    <mergeCell ref="N6:O6"/>
    <mergeCell ref="P6:Q6"/>
    <mergeCell ref="R6:S6"/>
    <mergeCell ref="G7:H7"/>
    <mergeCell ref="K7:L7"/>
    <mergeCell ref="N7:O7"/>
    <mergeCell ref="P7:Q7"/>
    <mergeCell ref="R7:S7"/>
    <mergeCell ref="P12:Q12"/>
    <mergeCell ref="E47:F47"/>
    <mergeCell ref="L37:O37"/>
    <mergeCell ref="L30:O30"/>
    <mergeCell ref="L29:O29"/>
    <mergeCell ref="L22:O22"/>
    <mergeCell ref="L16:O16"/>
    <mergeCell ref="L13:O13"/>
    <mergeCell ref="L24:O24"/>
    <mergeCell ref="L25:O25"/>
    <mergeCell ref="L26:O26"/>
    <mergeCell ref="L28:O28"/>
    <mergeCell ref="L40:O40"/>
    <mergeCell ref="L41:O41"/>
    <mergeCell ref="L42:O42"/>
    <mergeCell ref="L43:O43"/>
    <mergeCell ref="L31:O31"/>
    <mergeCell ref="L32:O32"/>
    <mergeCell ref="L33:O33"/>
    <mergeCell ref="L34:O34"/>
    <mergeCell ref="L35:O35"/>
    <mergeCell ref="L36:O36"/>
    <mergeCell ref="E44:F44"/>
    <mergeCell ref="E35:F35"/>
    <mergeCell ref="P13:Q13"/>
    <mergeCell ref="R12:T12"/>
    <mergeCell ref="R13:T13"/>
    <mergeCell ref="L14:O14"/>
    <mergeCell ref="L27:O27"/>
    <mergeCell ref="P11:Q11"/>
    <mergeCell ref="R11:T11"/>
    <mergeCell ref="L11:O11"/>
    <mergeCell ref="L23:O23"/>
    <mergeCell ref="L17:O17"/>
    <mergeCell ref="L18:O18"/>
    <mergeCell ref="L19:O19"/>
    <mergeCell ref="L20:O20"/>
    <mergeCell ref="L21:O21"/>
    <mergeCell ref="P21:Q21"/>
    <mergeCell ref="P22:Q22"/>
    <mergeCell ref="P23:Q23"/>
    <mergeCell ref="P30:Q30"/>
    <mergeCell ref="P31:Q31"/>
    <mergeCell ref="P32:Q32"/>
    <mergeCell ref="P33:Q33"/>
    <mergeCell ref="P34:Q34"/>
    <mergeCell ref="L52:O52"/>
    <mergeCell ref="L53:O53"/>
    <mergeCell ref="P14:Q14"/>
    <mergeCell ref="P27:Q27"/>
    <mergeCell ref="P16:Q16"/>
    <mergeCell ref="P17:Q17"/>
    <mergeCell ref="P18:Q18"/>
    <mergeCell ref="P19:Q19"/>
    <mergeCell ref="P20:Q20"/>
    <mergeCell ref="L44:O44"/>
    <mergeCell ref="L45:O45"/>
    <mergeCell ref="L46:O46"/>
    <mergeCell ref="L47:O47"/>
    <mergeCell ref="L48:O48"/>
    <mergeCell ref="L49:O49"/>
    <mergeCell ref="L38:O38"/>
    <mergeCell ref="L39:O39"/>
    <mergeCell ref="P35:Q35"/>
    <mergeCell ref="P36:Q36"/>
    <mergeCell ref="P37:Q37"/>
    <mergeCell ref="L50:O50"/>
    <mergeCell ref="L51:O51"/>
    <mergeCell ref="P28:Q28"/>
    <mergeCell ref="P29:Q29"/>
    <mergeCell ref="P51:Q51"/>
    <mergeCell ref="P52:Q52"/>
    <mergeCell ref="P24:Q24"/>
    <mergeCell ref="P25:Q25"/>
    <mergeCell ref="P26:Q26"/>
    <mergeCell ref="P53:Q53"/>
    <mergeCell ref="R14:T14"/>
    <mergeCell ref="R27:T27"/>
    <mergeCell ref="R16:T16"/>
    <mergeCell ref="R17:T17"/>
    <mergeCell ref="R18:T18"/>
    <mergeCell ref="R19:T19"/>
    <mergeCell ref="P45:Q45"/>
    <mergeCell ref="P46:Q46"/>
    <mergeCell ref="P47:Q47"/>
    <mergeCell ref="P48:Q48"/>
    <mergeCell ref="P49:Q49"/>
    <mergeCell ref="P50:Q50"/>
    <mergeCell ref="P39:Q39"/>
    <mergeCell ref="P40:Q40"/>
    <mergeCell ref="P41:Q41"/>
    <mergeCell ref="P42:Q42"/>
    <mergeCell ref="P43:Q43"/>
    <mergeCell ref="P44:Q44"/>
    <mergeCell ref="R28:T28"/>
    <mergeCell ref="P38:Q38"/>
    <mergeCell ref="R29:T29"/>
    <mergeCell ref="R30:T30"/>
    <mergeCell ref="R31:T31"/>
    <mergeCell ref="R20:T20"/>
    <mergeCell ref="R21:T21"/>
    <mergeCell ref="R22:T22"/>
    <mergeCell ref="R23:T23"/>
    <mergeCell ref="R24:T24"/>
    <mergeCell ref="R25:T25"/>
    <mergeCell ref="R50:T50"/>
    <mergeCell ref="R51:T51"/>
    <mergeCell ref="R52:T52"/>
    <mergeCell ref="R53:T53"/>
    <mergeCell ref="B2:D2"/>
    <mergeCell ref="R44:T44"/>
    <mergeCell ref="R45:T45"/>
    <mergeCell ref="R46:T46"/>
    <mergeCell ref="R47:T47"/>
    <mergeCell ref="R48:T48"/>
    <mergeCell ref="R49:T49"/>
    <mergeCell ref="R38:T38"/>
    <mergeCell ref="R39:T39"/>
    <mergeCell ref="R40:T40"/>
    <mergeCell ref="R41:T41"/>
    <mergeCell ref="R42:T42"/>
    <mergeCell ref="R43:T43"/>
    <mergeCell ref="R32:T32"/>
    <mergeCell ref="R33:T33"/>
    <mergeCell ref="R34:T34"/>
    <mergeCell ref="R35:T35"/>
    <mergeCell ref="R36:T36"/>
    <mergeCell ref="R37:T37"/>
    <mergeCell ref="R26:T26"/>
    <mergeCell ref="E36:F36"/>
    <mergeCell ref="E29:F29"/>
    <mergeCell ref="E30:F30"/>
    <mergeCell ref="E23:F23"/>
    <mergeCell ref="E18:F18"/>
    <mergeCell ref="E37:F37"/>
    <mergeCell ref="E38:F38"/>
    <mergeCell ref="E33:F33"/>
    <mergeCell ref="E34:F34"/>
    <mergeCell ref="E24:F24"/>
    <mergeCell ref="E25:F25"/>
    <mergeCell ref="E17:F17"/>
    <mergeCell ref="G11:K11"/>
    <mergeCell ref="E11:F11"/>
    <mergeCell ref="E12:F12"/>
    <mergeCell ref="E13:F13"/>
    <mergeCell ref="E14:F14"/>
    <mergeCell ref="E27:F27"/>
    <mergeCell ref="E43:F43"/>
    <mergeCell ref="E31:F31"/>
    <mergeCell ref="E32:F32"/>
    <mergeCell ref="E28:F28"/>
    <mergeCell ref="E21:F21"/>
    <mergeCell ref="E22:F22"/>
    <mergeCell ref="E19:F19"/>
    <mergeCell ref="E20:F20"/>
    <mergeCell ref="E42:F42"/>
    <mergeCell ref="G41:K41"/>
    <mergeCell ref="G42:K42"/>
    <mergeCell ref="E40:F40"/>
    <mergeCell ref="G18:K18"/>
    <mergeCell ref="G19:K19"/>
    <mergeCell ref="G20:K20"/>
    <mergeCell ref="G21:K21"/>
    <mergeCell ref="G22:K22"/>
    <mergeCell ref="E52:F52"/>
    <mergeCell ref="E53:F53"/>
    <mergeCell ref="G12:K12"/>
    <mergeCell ref="G13:K13"/>
    <mergeCell ref="G14:K14"/>
    <mergeCell ref="G27:K27"/>
    <mergeCell ref="G16:K16"/>
    <mergeCell ref="G17:K17"/>
    <mergeCell ref="E50:F50"/>
    <mergeCell ref="E51:F51"/>
    <mergeCell ref="G50:K50"/>
    <mergeCell ref="G51:K51"/>
    <mergeCell ref="E48:F48"/>
    <mergeCell ref="E49:F49"/>
    <mergeCell ref="G49:K49"/>
    <mergeCell ref="E45:F45"/>
    <mergeCell ref="E46:F46"/>
    <mergeCell ref="E41:F41"/>
    <mergeCell ref="E16:F16"/>
    <mergeCell ref="G29:K29"/>
    <mergeCell ref="G30:K30"/>
    <mergeCell ref="G31:K31"/>
    <mergeCell ref="G32:K32"/>
    <mergeCell ref="G33:K33"/>
    <mergeCell ref="G34:K34"/>
    <mergeCell ref="G23:K23"/>
    <mergeCell ref="G24:K24"/>
    <mergeCell ref="G25:K25"/>
    <mergeCell ref="G26:K26"/>
    <mergeCell ref="G28:K28"/>
    <mergeCell ref="G52:K52"/>
    <mergeCell ref="G53:K53"/>
    <mergeCell ref="G43:K43"/>
    <mergeCell ref="G44:K44"/>
    <mergeCell ref="G45:K45"/>
    <mergeCell ref="G46:K46"/>
    <mergeCell ref="G47:K47"/>
    <mergeCell ref="G48:K48"/>
    <mergeCell ref="G35:K35"/>
    <mergeCell ref="G36:K36"/>
    <mergeCell ref="G37:K37"/>
    <mergeCell ref="G38:K38"/>
    <mergeCell ref="G39:K39"/>
    <mergeCell ref="G40:K40"/>
  </mergeCells>
  <phoneticPr fontId="17" type="noConversion"/>
  <conditionalFormatting sqref="C12:F32">
    <cfRule type="expression" dxfId="37" priority="1">
      <formula>$C12=0</formula>
    </cfRule>
  </conditionalFormatting>
  <conditionalFormatting sqref="C33:T53">
    <cfRule type="expression" dxfId="36" priority="71">
      <formula>$C33=0</formula>
    </cfRule>
  </conditionalFormatting>
  <conditionalFormatting sqref="G15:O24">
    <cfRule type="expression" dxfId="35" priority="2">
      <formula>$C15=0</formula>
    </cfRule>
  </conditionalFormatting>
  <conditionalFormatting sqref="G25:Q25">
    <cfRule type="expression" dxfId="34" priority="16">
      <formula>$C25=0</formula>
    </cfRule>
  </conditionalFormatting>
  <conditionalFormatting sqref="G27:R28">
    <cfRule type="expression" dxfId="33" priority="79">
      <formula>$C27=0</formula>
    </cfRule>
  </conditionalFormatting>
  <conditionalFormatting sqref="G12:T14 P15:T15">
    <cfRule type="expression" dxfId="32" priority="6">
      <formula>$C12=0</formula>
    </cfRule>
  </conditionalFormatting>
  <conditionalFormatting sqref="G26:T26 G29:T32">
    <cfRule type="expression" dxfId="31" priority="87">
      <formula>$C26=0</formula>
    </cfRule>
  </conditionalFormatting>
  <conditionalFormatting sqref="P16:Q24">
    <cfRule type="expression" dxfId="30" priority="3">
      <formula>$C16=0</formula>
    </cfRule>
  </conditionalFormatting>
  <conditionalFormatting sqref="R16">
    <cfRule type="expression" dxfId="29" priority="66">
      <formula>$C16=0</formula>
    </cfRule>
  </conditionalFormatting>
  <conditionalFormatting sqref="R17:T25">
    <cfRule type="expression" dxfId="28" priority="19">
      <formula>$C17=0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60" fitToHeight="0" orientation="landscape" verticalDpi="300" r:id="rId1"/>
  <headerFooter>
    <oddFooter>&amp;C&amp;1#&amp;"Arial Black"&amp;11&amp;K737373PÚBLICA</oddFooter>
  </headerFooter>
  <ignoredErrors>
    <ignoredError sqref="T6:T7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>
    <pageSetUpPr fitToPage="1"/>
  </sheetPr>
  <dimension ref="A1:Y47"/>
  <sheetViews>
    <sheetView showGridLines="0" zoomScale="77" zoomScaleNormal="160" workbookViewId="0">
      <pane xSplit="2" ySplit="2" topLeftCell="C32" activePane="bottomRight" state="frozen"/>
      <selection pane="bottomRight" activeCell="H42" sqref="H42"/>
      <selection pane="bottomLeft" activeCell="A13" sqref="A13"/>
      <selection pane="topRight" activeCell="C1" sqref="C1"/>
    </sheetView>
  </sheetViews>
  <sheetFormatPr defaultColWidth="0" defaultRowHeight="15" zeroHeight="1"/>
  <cols>
    <col min="1" max="1" width="0.85546875" style="1" customWidth="1"/>
    <col min="2" max="2" width="8.5703125" style="3" customWidth="1"/>
    <col min="3" max="3" width="13.5703125" style="3" customWidth="1"/>
    <col min="4" max="4" width="18.5703125" style="3" customWidth="1"/>
    <col min="5" max="6" width="13.5703125" style="3" customWidth="1"/>
    <col min="7" max="7" width="25.5703125" style="3" customWidth="1"/>
    <col min="8" max="8" width="24.42578125" style="3" customWidth="1"/>
    <col min="9" max="9" width="30" style="3" customWidth="1"/>
    <col min="10" max="10" width="35.5703125" style="3" customWidth="1"/>
    <col min="11" max="11" width="16.42578125" style="3" customWidth="1"/>
    <col min="12" max="12" width="16.5703125" style="3" customWidth="1"/>
    <col min="13" max="13" width="17.140625" style="3" customWidth="1"/>
    <col min="14" max="14" width="6.5703125" style="3" customWidth="1"/>
    <col min="15" max="15" width="5.5703125" style="3" customWidth="1"/>
    <col min="16" max="16" width="8.85546875" style="3" customWidth="1"/>
    <col min="17" max="17" width="13.85546875" style="3" customWidth="1"/>
    <col min="18" max="18" width="13.5703125" style="3" customWidth="1"/>
    <col min="19" max="19" width="17" style="3" customWidth="1"/>
    <col min="20" max="20" width="18.42578125" style="3" customWidth="1"/>
    <col min="21" max="21" width="18" style="1" customWidth="1"/>
    <col min="22" max="22" width="13.5703125" style="1" customWidth="1"/>
    <col min="23" max="23" width="31.85546875" style="1" customWidth="1"/>
    <col min="24" max="24" width="0.85546875" style="1" customWidth="1"/>
    <col min="25" max="25" width="0" style="1" hidden="1" customWidth="1"/>
    <col min="26" max="16384" width="9.140625" style="1" hidden="1"/>
  </cols>
  <sheetData>
    <row r="1" spans="2:23" ht="38.1" customHeight="1" thickBot="1"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</row>
    <row r="2" spans="2:23" ht="41.25" customHeight="1" thickBot="1">
      <c r="B2" s="188"/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  <c r="T2" s="428"/>
      <c r="U2" s="428"/>
      <c r="V2" s="428"/>
      <c r="W2" s="518"/>
    </row>
    <row r="3" spans="2:23" ht="24" customHeight="1" thickBot="1">
      <c r="B3" s="189"/>
      <c r="F3" s="344" t="str">
        <f>Geral!F3</f>
        <v>Controle de Equipamentos Offshore</v>
      </c>
      <c r="G3" s="345"/>
      <c r="H3" s="345"/>
      <c r="I3" s="345"/>
      <c r="J3" s="345"/>
      <c r="K3" s="345"/>
      <c r="L3" s="345"/>
      <c r="M3" s="345"/>
      <c r="N3" s="345"/>
      <c r="O3" s="346"/>
      <c r="Q3" s="344" t="str">
        <f>Geral!Q3</f>
        <v>Equipe a bordo</v>
      </c>
      <c r="R3" s="345"/>
      <c r="S3" s="345"/>
      <c r="T3" s="345"/>
      <c r="U3" s="345"/>
      <c r="V3" s="345"/>
      <c r="W3" s="346"/>
    </row>
    <row r="4" spans="2:23" ht="24" customHeight="1" thickBot="1">
      <c r="B4" s="189"/>
      <c r="F4" s="19"/>
      <c r="G4" s="19"/>
      <c r="H4" s="19"/>
      <c r="I4" s="19"/>
      <c r="J4" s="19"/>
      <c r="K4" s="19"/>
      <c r="L4" s="19"/>
      <c r="M4" s="19"/>
      <c r="N4" s="19"/>
      <c r="O4" s="19"/>
      <c r="Q4" s="227"/>
      <c r="R4" s="228"/>
      <c r="S4" s="228"/>
      <c r="T4" s="228"/>
      <c r="U4" s="228"/>
      <c r="V4" s="228"/>
      <c r="W4" s="226"/>
    </row>
    <row r="5" spans="2:23" s="123" customFormat="1" ht="21" customHeight="1" thickBot="1">
      <c r="B5" s="189"/>
      <c r="C5" s="3"/>
      <c r="D5" s="3"/>
      <c r="E5" s="3"/>
      <c r="F5" s="114" t="str">
        <f>Geral!F5</f>
        <v>Sonda:</v>
      </c>
      <c r="G5" s="512" t="str">
        <f>Geral!G5</f>
        <v>SS-73</v>
      </c>
      <c r="H5" s="513"/>
      <c r="I5" s="514"/>
      <c r="J5" s="124"/>
      <c r="K5" s="124"/>
      <c r="L5" s="114" t="str">
        <f>Geral!L5</f>
        <v>Poço:</v>
      </c>
      <c r="M5" s="347" t="str">
        <f>Geral!M5</f>
        <v>7-BAZ-3-ESS</v>
      </c>
      <c r="N5" s="348"/>
      <c r="O5" s="349"/>
      <c r="P5" s="125"/>
      <c r="Q5" s="505" t="s">
        <v>6</v>
      </c>
      <c r="R5" s="506"/>
      <c r="S5" s="420" t="s">
        <v>8</v>
      </c>
      <c r="T5" s="421"/>
      <c r="U5" s="416" t="s">
        <v>6</v>
      </c>
      <c r="V5" s="417"/>
      <c r="W5" s="51" t="s">
        <v>361</v>
      </c>
    </row>
    <row r="6" spans="2:23" ht="21" customHeight="1" thickBot="1">
      <c r="B6" s="189"/>
      <c r="F6" s="18"/>
      <c r="G6" s="18" t="s">
        <v>324</v>
      </c>
      <c r="H6" s="18"/>
      <c r="I6" s="4"/>
      <c r="J6" s="19"/>
      <c r="K6" s="19"/>
      <c r="L6" s="18"/>
      <c r="M6" s="18" t="s">
        <v>362</v>
      </c>
      <c r="N6" s="18"/>
      <c r="O6" s="4"/>
      <c r="P6" s="4"/>
      <c r="Q6" s="521" t="s">
        <v>9</v>
      </c>
      <c r="R6" s="522"/>
      <c r="S6" s="422" t="s">
        <v>16</v>
      </c>
      <c r="T6" s="423"/>
      <c r="U6" s="418" t="s">
        <v>9</v>
      </c>
      <c r="V6" s="419"/>
      <c r="W6" s="51" t="s">
        <v>363</v>
      </c>
    </row>
    <row r="7" spans="2:23" s="123" customFormat="1" ht="21" customHeight="1" thickBot="1">
      <c r="B7" s="189"/>
      <c r="C7" s="3"/>
      <c r="D7" s="3"/>
      <c r="E7" s="3"/>
      <c r="F7" s="114" t="str">
        <f>Geral!F7</f>
        <v>Data:</v>
      </c>
      <c r="G7" s="509">
        <v>46079</v>
      </c>
      <c r="H7" s="510"/>
      <c r="I7" s="511"/>
      <c r="J7" s="124"/>
      <c r="K7" s="124"/>
      <c r="L7" s="114" t="str">
        <f>Geral!L7</f>
        <v>Campo:</v>
      </c>
      <c r="M7" s="512" t="str">
        <f>Geral!M7</f>
        <v>BALEIA AZUL</v>
      </c>
      <c r="N7" s="513"/>
      <c r="O7" s="514"/>
      <c r="P7" s="117"/>
      <c r="Q7" s="507" t="s">
        <v>9</v>
      </c>
      <c r="R7" s="508"/>
      <c r="S7" s="424" t="s">
        <v>364</v>
      </c>
      <c r="T7" s="425"/>
      <c r="U7" s="418" t="s">
        <v>9</v>
      </c>
      <c r="V7" s="419"/>
      <c r="W7" s="51" t="s">
        <v>365</v>
      </c>
    </row>
    <row r="8" spans="2:23" ht="24.95" customHeight="1" thickBot="1">
      <c r="B8" s="190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191"/>
    </row>
    <row r="9" spans="2:23" s="123" customFormat="1" ht="36.950000000000003" customHeight="1">
      <c r="B9" s="502" t="s">
        <v>17</v>
      </c>
      <c r="C9" s="503"/>
      <c r="D9" s="503"/>
      <c r="E9" s="503"/>
      <c r="F9" s="503"/>
      <c r="G9" s="503"/>
      <c r="H9" s="503"/>
      <c r="I9" s="503"/>
      <c r="J9" s="503"/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4"/>
    </row>
    <row r="10" spans="2:23" ht="45" customHeight="1">
      <c r="B10" s="122" t="s">
        <v>18</v>
      </c>
      <c r="C10" s="156" t="s">
        <v>21</v>
      </c>
      <c r="D10" s="156" t="s">
        <v>22</v>
      </c>
      <c r="E10" s="433" t="s">
        <v>23</v>
      </c>
      <c r="F10" s="434"/>
      <c r="G10" s="434"/>
      <c r="H10" s="435"/>
      <c r="I10" s="156" t="s">
        <v>366</v>
      </c>
      <c r="J10" s="153" t="s">
        <v>367</v>
      </c>
      <c r="K10" s="156" t="s">
        <v>368</v>
      </c>
      <c r="L10" s="156" t="s">
        <v>369</v>
      </c>
      <c r="M10" s="156" t="s">
        <v>370</v>
      </c>
      <c r="N10" s="515" t="s">
        <v>371</v>
      </c>
      <c r="O10" s="516"/>
      <c r="P10" s="516"/>
      <c r="Q10" s="517"/>
      <c r="R10" s="156" t="s">
        <v>28</v>
      </c>
      <c r="S10" s="153" t="s">
        <v>29</v>
      </c>
      <c r="T10" s="156" t="s">
        <v>30</v>
      </c>
      <c r="U10" s="156" t="s">
        <v>31</v>
      </c>
      <c r="V10" s="156" t="s">
        <v>32</v>
      </c>
      <c r="W10" s="156" t="s">
        <v>35</v>
      </c>
    </row>
    <row r="11" spans="2:23" s="123" customFormat="1" ht="42.6" customHeight="1">
      <c r="B11" s="178">
        <v>1</v>
      </c>
      <c r="C11" s="180">
        <v>495008</v>
      </c>
      <c r="D11" s="175" t="s">
        <v>136</v>
      </c>
      <c r="E11" s="499" t="s">
        <v>137</v>
      </c>
      <c r="F11" s="499"/>
      <c r="G11" s="499"/>
      <c r="H11" s="499"/>
      <c r="I11" s="175" t="s">
        <v>372</v>
      </c>
      <c r="J11" s="171" t="s">
        <v>37</v>
      </c>
      <c r="K11" s="225">
        <v>46102</v>
      </c>
      <c r="L11" s="185" t="s">
        <v>37</v>
      </c>
      <c r="M11" s="185">
        <v>46102</v>
      </c>
      <c r="N11" s="482"/>
      <c r="O11" s="482"/>
      <c r="P11" s="482"/>
      <c r="Q11" s="482"/>
      <c r="R11" s="175"/>
      <c r="S11" s="175"/>
      <c r="T11" s="175"/>
      <c r="U11" s="175"/>
      <c r="V11" s="175"/>
      <c r="W11" s="171"/>
    </row>
    <row r="12" spans="2:23" s="170" customFormat="1" ht="24.75" customHeight="1">
      <c r="B12" s="179">
        <v>2</v>
      </c>
      <c r="C12" s="180">
        <v>498056</v>
      </c>
      <c r="D12" s="176" t="s">
        <v>145</v>
      </c>
      <c r="E12" s="499" t="s">
        <v>146</v>
      </c>
      <c r="F12" s="499"/>
      <c r="G12" s="499"/>
      <c r="H12" s="499"/>
      <c r="I12" s="175" t="s">
        <v>373</v>
      </c>
      <c r="J12" s="171" t="s">
        <v>37</v>
      </c>
      <c r="K12" s="185">
        <v>46102</v>
      </c>
      <c r="L12" s="185" t="s">
        <v>37</v>
      </c>
      <c r="M12" s="185">
        <v>46102</v>
      </c>
      <c r="N12" s="482"/>
      <c r="O12" s="482"/>
      <c r="P12" s="482"/>
      <c r="Q12" s="482"/>
      <c r="R12" s="500"/>
      <c r="S12" s="501"/>
      <c r="T12" s="175"/>
      <c r="U12" s="175"/>
      <c r="V12" s="175"/>
      <c r="W12" s="171"/>
    </row>
    <row r="13" spans="2:23" s="123" customFormat="1" ht="24.75" customHeight="1">
      <c r="B13" s="178">
        <v>3</v>
      </c>
      <c r="C13" s="180">
        <v>495624</v>
      </c>
      <c r="D13" s="176" t="s">
        <v>252</v>
      </c>
      <c r="E13" s="499" t="s">
        <v>253</v>
      </c>
      <c r="F13" s="499"/>
      <c r="G13" s="499"/>
      <c r="H13" s="499"/>
      <c r="I13" s="169" t="s">
        <v>374</v>
      </c>
      <c r="J13" s="171" t="s">
        <v>37</v>
      </c>
      <c r="K13" s="185">
        <v>46179</v>
      </c>
      <c r="L13" s="185">
        <v>46180</v>
      </c>
      <c r="M13" s="185" t="s">
        <v>37</v>
      </c>
      <c r="N13" s="492"/>
      <c r="O13" s="493"/>
      <c r="P13" s="493"/>
      <c r="Q13" s="494"/>
      <c r="R13" s="175"/>
      <c r="S13" s="175"/>
      <c r="T13" s="175"/>
      <c r="U13" s="175"/>
      <c r="V13" s="175"/>
      <c r="W13" s="181"/>
    </row>
    <row r="14" spans="2:23" s="123" customFormat="1" ht="24.75" customHeight="1">
      <c r="B14" s="178">
        <v>31</v>
      </c>
      <c r="C14" s="175" t="s">
        <v>37</v>
      </c>
      <c r="D14" s="182" t="s">
        <v>375</v>
      </c>
      <c r="E14" s="483" t="s">
        <v>376</v>
      </c>
      <c r="F14" s="484"/>
      <c r="G14" s="484"/>
      <c r="H14" s="485"/>
      <c r="I14" s="182" t="s">
        <v>377</v>
      </c>
      <c r="J14" s="175" t="s">
        <v>37</v>
      </c>
      <c r="K14" s="185">
        <v>46192</v>
      </c>
      <c r="L14" s="185" t="s">
        <v>37</v>
      </c>
      <c r="M14" s="185">
        <v>46193</v>
      </c>
      <c r="N14" s="482"/>
      <c r="O14" s="482"/>
      <c r="P14" s="482"/>
      <c r="Q14" s="482"/>
      <c r="R14" s="175"/>
      <c r="S14" s="175"/>
      <c r="T14" s="175"/>
      <c r="U14" s="175"/>
      <c r="V14" s="175"/>
      <c r="W14" s="173"/>
    </row>
    <row r="15" spans="2:23" s="123" customFormat="1" ht="24.75" customHeight="1">
      <c r="B15" s="178">
        <v>5</v>
      </c>
      <c r="C15" s="176" t="s">
        <v>37</v>
      </c>
      <c r="D15" s="175" t="s">
        <v>271</v>
      </c>
      <c r="E15" s="483" t="s">
        <v>378</v>
      </c>
      <c r="F15" s="484"/>
      <c r="G15" s="484"/>
      <c r="H15" s="485"/>
      <c r="I15" s="175" t="s">
        <v>379</v>
      </c>
      <c r="J15" s="171" t="s">
        <v>37</v>
      </c>
      <c r="K15" s="185">
        <v>46296</v>
      </c>
      <c r="L15" s="185" t="s">
        <v>37</v>
      </c>
      <c r="M15" s="185">
        <v>46296</v>
      </c>
      <c r="N15" s="482"/>
      <c r="O15" s="482"/>
      <c r="P15" s="482"/>
      <c r="Q15" s="482"/>
      <c r="R15" s="175"/>
      <c r="S15" s="175"/>
      <c r="T15" s="175"/>
      <c r="U15" s="175"/>
      <c r="V15" s="175"/>
      <c r="W15" s="171"/>
    </row>
    <row r="16" spans="2:23" s="170" customFormat="1" ht="24.75" customHeight="1">
      <c r="B16" s="223">
        <v>6</v>
      </c>
      <c r="C16" s="175" t="s">
        <v>37</v>
      </c>
      <c r="D16" s="182" t="s">
        <v>380</v>
      </c>
      <c r="E16" s="483" t="s">
        <v>381</v>
      </c>
      <c r="F16" s="484"/>
      <c r="G16" s="484"/>
      <c r="H16" s="485"/>
      <c r="I16" s="182" t="s">
        <v>382</v>
      </c>
      <c r="J16" s="175" t="s">
        <v>37</v>
      </c>
      <c r="K16" s="185">
        <v>46325</v>
      </c>
      <c r="L16" s="185" t="s">
        <v>37</v>
      </c>
      <c r="M16" s="185" t="s">
        <v>37</v>
      </c>
      <c r="N16" s="482"/>
      <c r="O16" s="482"/>
      <c r="P16" s="482"/>
      <c r="Q16" s="482"/>
      <c r="R16" s="173"/>
      <c r="S16" s="173"/>
      <c r="T16" s="173"/>
      <c r="U16" s="173"/>
      <c r="V16" s="173"/>
      <c r="W16" s="173"/>
    </row>
    <row r="17" spans="2:23" s="123" customFormat="1" ht="30" customHeight="1">
      <c r="B17" s="223">
        <v>32</v>
      </c>
      <c r="C17" s="175" t="s">
        <v>37</v>
      </c>
      <c r="D17" s="182" t="s">
        <v>383</v>
      </c>
      <c r="E17" s="483" t="s">
        <v>384</v>
      </c>
      <c r="F17" s="484"/>
      <c r="G17" s="484"/>
      <c r="H17" s="485"/>
      <c r="I17" s="175" t="s">
        <v>385</v>
      </c>
      <c r="J17" s="175" t="s">
        <v>37</v>
      </c>
      <c r="K17" s="185">
        <v>46420</v>
      </c>
      <c r="L17" s="185" t="s">
        <v>37</v>
      </c>
      <c r="M17" s="185">
        <v>46389</v>
      </c>
      <c r="N17" s="482"/>
      <c r="O17" s="482"/>
      <c r="P17" s="482"/>
      <c r="Q17" s="482"/>
      <c r="R17" s="175"/>
      <c r="S17" s="173"/>
      <c r="T17" s="173"/>
      <c r="U17" s="175"/>
      <c r="V17" s="175"/>
      <c r="W17" s="173"/>
    </row>
    <row r="18" spans="2:23" s="123" customFormat="1" ht="30" customHeight="1">
      <c r="B18" s="223">
        <v>8</v>
      </c>
      <c r="C18" s="175" t="s">
        <v>386</v>
      </c>
      <c r="D18" s="175" t="s">
        <v>37</v>
      </c>
      <c r="E18" s="495" t="s">
        <v>387</v>
      </c>
      <c r="F18" s="496"/>
      <c r="G18" s="496"/>
      <c r="H18" s="497"/>
      <c r="I18" s="175" t="s">
        <v>37</v>
      </c>
      <c r="J18" s="175" t="s">
        <v>37</v>
      </c>
      <c r="K18" s="185"/>
      <c r="L18" s="185"/>
      <c r="M18" s="185"/>
      <c r="N18" s="482"/>
      <c r="O18" s="482"/>
      <c r="P18" s="482"/>
      <c r="Q18" s="482"/>
      <c r="R18" s="173"/>
      <c r="S18" s="173"/>
      <c r="T18" s="173"/>
      <c r="U18" s="173"/>
      <c r="V18" s="173"/>
      <c r="W18" s="173"/>
    </row>
    <row r="19" spans="2:23" s="123" customFormat="1" ht="30" customHeight="1" thickBot="1">
      <c r="B19" s="178">
        <v>9</v>
      </c>
      <c r="C19" s="175" t="s">
        <v>37</v>
      </c>
      <c r="D19" s="176" t="s">
        <v>37</v>
      </c>
      <c r="E19" s="498" t="s">
        <v>388</v>
      </c>
      <c r="F19" s="498"/>
      <c r="G19" s="498"/>
      <c r="H19" s="498"/>
      <c r="I19" s="175" t="s">
        <v>389</v>
      </c>
      <c r="J19" s="171" t="s">
        <v>37</v>
      </c>
      <c r="K19" s="185">
        <v>46407</v>
      </c>
      <c r="L19" s="185" t="s">
        <v>37</v>
      </c>
      <c r="M19" s="185">
        <v>46407</v>
      </c>
      <c r="N19" s="482"/>
      <c r="O19" s="482"/>
      <c r="P19" s="482"/>
      <c r="Q19" s="482"/>
      <c r="R19" s="175"/>
      <c r="S19" s="175"/>
      <c r="T19" s="175"/>
      <c r="U19" s="175"/>
      <c r="V19" s="175"/>
      <c r="W19" s="171"/>
    </row>
    <row r="20" spans="2:23" s="170" customFormat="1" ht="30" customHeight="1" thickBot="1">
      <c r="B20" s="179">
        <v>10</v>
      </c>
      <c r="C20" s="175" t="s">
        <v>37</v>
      </c>
      <c r="D20" s="175" t="s">
        <v>37</v>
      </c>
      <c r="E20" s="495" t="s">
        <v>387</v>
      </c>
      <c r="F20" s="496"/>
      <c r="G20" s="496"/>
      <c r="H20" s="497"/>
      <c r="I20" s="175" t="s">
        <v>37</v>
      </c>
      <c r="J20" s="175" t="s">
        <v>37</v>
      </c>
      <c r="K20" s="185" t="s">
        <v>37</v>
      </c>
      <c r="L20" s="185" t="s">
        <v>37</v>
      </c>
      <c r="M20" s="185" t="s">
        <v>37</v>
      </c>
      <c r="N20" s="482"/>
      <c r="O20" s="482"/>
      <c r="P20" s="482"/>
      <c r="Q20" s="482"/>
      <c r="R20" s="175"/>
      <c r="S20" s="175"/>
      <c r="T20" s="171"/>
      <c r="U20" s="175"/>
      <c r="V20" s="175"/>
      <c r="W20" s="171"/>
    </row>
    <row r="21" spans="2:23" s="174" customFormat="1" ht="30" customHeight="1" thickBot="1">
      <c r="B21" s="179">
        <v>11</v>
      </c>
      <c r="C21" s="175" t="s">
        <v>37</v>
      </c>
      <c r="D21" s="175" t="s">
        <v>37</v>
      </c>
      <c r="E21" s="483" t="s">
        <v>390</v>
      </c>
      <c r="F21" s="484"/>
      <c r="G21" s="484"/>
      <c r="H21" s="485"/>
      <c r="I21" s="182" t="s">
        <v>391</v>
      </c>
      <c r="J21" s="175" t="s">
        <v>37</v>
      </c>
      <c r="K21" s="185">
        <v>46333</v>
      </c>
      <c r="L21" s="185" t="s">
        <v>37</v>
      </c>
      <c r="M21" s="185" t="s">
        <v>37</v>
      </c>
      <c r="N21" s="482"/>
      <c r="O21" s="482"/>
      <c r="P21" s="482"/>
      <c r="Q21" s="482"/>
      <c r="R21" s="173"/>
      <c r="S21" s="173"/>
      <c r="T21" s="173"/>
      <c r="U21" s="173"/>
      <c r="V21" s="173"/>
      <c r="W21" s="173"/>
    </row>
    <row r="22" spans="2:23" s="174" customFormat="1" ht="30" customHeight="1">
      <c r="B22" s="179">
        <v>12</v>
      </c>
      <c r="C22" s="175" t="s">
        <v>37</v>
      </c>
      <c r="D22" s="171" t="s">
        <v>37</v>
      </c>
      <c r="E22" s="483" t="s">
        <v>392</v>
      </c>
      <c r="F22" s="484"/>
      <c r="G22" s="484"/>
      <c r="H22" s="485"/>
      <c r="I22" s="182" t="s">
        <v>393</v>
      </c>
      <c r="J22" s="175" t="s">
        <v>37</v>
      </c>
      <c r="K22" s="185">
        <v>46066</v>
      </c>
      <c r="L22" s="185" t="s">
        <v>37</v>
      </c>
      <c r="M22" s="185" t="s">
        <v>37</v>
      </c>
      <c r="N22" s="482"/>
      <c r="O22" s="482"/>
      <c r="P22" s="482"/>
      <c r="Q22" s="482"/>
      <c r="R22" s="173"/>
      <c r="S22" s="173"/>
      <c r="T22" s="173"/>
      <c r="U22" s="173"/>
      <c r="V22" s="173"/>
      <c r="W22" s="173"/>
    </row>
    <row r="23" spans="2:23" s="174" customFormat="1" ht="30" customHeight="1">
      <c r="B23" s="178">
        <v>13</v>
      </c>
      <c r="C23" s="175" t="s">
        <v>37</v>
      </c>
      <c r="D23" s="182" t="s">
        <v>394</v>
      </c>
      <c r="E23" s="483" t="s">
        <v>395</v>
      </c>
      <c r="F23" s="484"/>
      <c r="G23" s="484"/>
      <c r="H23" s="485"/>
      <c r="I23" s="175" t="s">
        <v>37</v>
      </c>
      <c r="J23" s="175" t="s">
        <v>37</v>
      </c>
      <c r="K23" s="185" t="s">
        <v>37</v>
      </c>
      <c r="L23" s="185" t="s">
        <v>37</v>
      </c>
      <c r="M23" s="185">
        <v>46079</v>
      </c>
      <c r="N23" s="482"/>
      <c r="O23" s="482"/>
      <c r="P23" s="482"/>
      <c r="Q23" s="482"/>
      <c r="R23" s="173"/>
      <c r="S23" s="173"/>
      <c r="T23" s="173"/>
      <c r="U23" s="173"/>
      <c r="V23" s="173"/>
      <c r="W23" s="183"/>
    </row>
    <row r="24" spans="2:23" s="174" customFormat="1" ht="30" customHeight="1">
      <c r="B24" s="223">
        <v>14</v>
      </c>
      <c r="C24" s="175" t="s">
        <v>37</v>
      </c>
      <c r="D24" s="175" t="s">
        <v>37</v>
      </c>
      <c r="E24" s="483" t="s">
        <v>396</v>
      </c>
      <c r="F24" s="484"/>
      <c r="G24" s="484"/>
      <c r="H24" s="485"/>
      <c r="I24" s="195" t="s">
        <v>397</v>
      </c>
      <c r="J24" s="175" t="s">
        <v>37</v>
      </c>
      <c r="K24" s="185">
        <v>46078</v>
      </c>
      <c r="L24" s="185" t="s">
        <v>37</v>
      </c>
      <c r="M24" s="185" t="s">
        <v>37</v>
      </c>
      <c r="N24" s="492"/>
      <c r="O24" s="493"/>
      <c r="P24" s="493"/>
      <c r="Q24" s="494"/>
      <c r="R24" s="173"/>
      <c r="S24" s="173"/>
      <c r="T24" s="173"/>
      <c r="U24" s="173"/>
      <c r="V24" s="173"/>
      <c r="W24" s="183" t="s">
        <v>398</v>
      </c>
    </row>
    <row r="25" spans="2:23" s="123" customFormat="1" ht="30" customHeight="1">
      <c r="B25" s="178">
        <v>15</v>
      </c>
      <c r="C25" s="182" t="s">
        <v>37</v>
      </c>
      <c r="D25" s="182" t="s">
        <v>37</v>
      </c>
      <c r="E25" s="483" t="s">
        <v>399</v>
      </c>
      <c r="F25" s="484"/>
      <c r="G25" s="484"/>
      <c r="H25" s="485"/>
      <c r="I25" s="182" t="s">
        <v>400</v>
      </c>
      <c r="J25" s="173" t="s">
        <v>37</v>
      </c>
      <c r="K25" s="185" t="s">
        <v>37</v>
      </c>
      <c r="L25" s="185" t="s">
        <v>37</v>
      </c>
      <c r="M25" s="185">
        <v>46333</v>
      </c>
      <c r="N25" s="482"/>
      <c r="O25" s="482"/>
      <c r="P25" s="482"/>
      <c r="Q25" s="482"/>
      <c r="R25" s="175"/>
      <c r="S25" s="175"/>
      <c r="T25" s="175"/>
      <c r="U25" s="175"/>
      <c r="V25" s="175"/>
      <c r="W25" s="173"/>
    </row>
    <row r="26" spans="2:23" s="123" customFormat="1" ht="30" customHeight="1">
      <c r="B26" s="223">
        <v>16</v>
      </c>
      <c r="C26" s="175" t="s">
        <v>37</v>
      </c>
      <c r="D26" s="182" t="s">
        <v>37</v>
      </c>
      <c r="E26" s="483" t="s">
        <v>392</v>
      </c>
      <c r="F26" s="484"/>
      <c r="G26" s="484"/>
      <c r="H26" s="485"/>
      <c r="I26" s="175">
        <v>4108</v>
      </c>
      <c r="J26" s="175" t="s">
        <v>37</v>
      </c>
      <c r="K26" s="185">
        <v>46176</v>
      </c>
      <c r="L26" s="185" t="s">
        <v>37</v>
      </c>
      <c r="M26" s="185" t="s">
        <v>37</v>
      </c>
      <c r="N26" s="482"/>
      <c r="O26" s="482"/>
      <c r="P26" s="482"/>
      <c r="Q26" s="482"/>
      <c r="R26" s="175"/>
      <c r="S26" s="175"/>
      <c r="T26" s="175"/>
      <c r="U26" s="175"/>
      <c r="V26" s="175"/>
      <c r="W26" s="173"/>
    </row>
    <row r="27" spans="2:23" s="123" customFormat="1" ht="30" customHeight="1">
      <c r="B27" s="223">
        <v>17</v>
      </c>
      <c r="C27" s="175" t="s">
        <v>37</v>
      </c>
      <c r="D27" s="182" t="s">
        <v>37</v>
      </c>
      <c r="E27" s="483" t="s">
        <v>395</v>
      </c>
      <c r="F27" s="484"/>
      <c r="G27" s="484"/>
      <c r="H27" s="485"/>
      <c r="I27" s="175">
        <v>6474126</v>
      </c>
      <c r="J27" s="175" t="s">
        <v>37</v>
      </c>
      <c r="K27" s="185"/>
      <c r="L27" s="185"/>
      <c r="M27" s="185"/>
      <c r="N27" s="482"/>
      <c r="O27" s="482"/>
      <c r="P27" s="482"/>
      <c r="Q27" s="482"/>
      <c r="R27" s="175"/>
      <c r="S27" s="175"/>
      <c r="T27" s="175"/>
      <c r="U27" s="175"/>
      <c r="V27" s="175"/>
      <c r="W27" s="173"/>
    </row>
    <row r="28" spans="2:23" s="123" customFormat="1" ht="30" customHeight="1">
      <c r="B28" s="179">
        <v>18</v>
      </c>
      <c r="C28" s="175" t="s">
        <v>37</v>
      </c>
      <c r="D28" s="182" t="s">
        <v>401</v>
      </c>
      <c r="E28" s="483" t="s">
        <v>299</v>
      </c>
      <c r="F28" s="484"/>
      <c r="G28" s="484"/>
      <c r="H28" s="485"/>
      <c r="I28" s="177" t="s">
        <v>402</v>
      </c>
      <c r="J28" s="175" t="s">
        <v>37</v>
      </c>
      <c r="K28" s="185">
        <v>46245</v>
      </c>
      <c r="L28" s="185" t="s">
        <v>37</v>
      </c>
      <c r="M28" s="185">
        <v>46253</v>
      </c>
      <c r="N28" s="482"/>
      <c r="O28" s="482"/>
      <c r="P28" s="482"/>
      <c r="Q28" s="482"/>
      <c r="R28" s="175"/>
      <c r="S28" s="175"/>
      <c r="T28" s="175"/>
      <c r="U28" s="175"/>
      <c r="V28" s="175"/>
      <c r="W28" s="173"/>
    </row>
    <row r="29" spans="2:23" s="123" customFormat="1" ht="30" customHeight="1" thickBot="1">
      <c r="B29" s="179">
        <v>19</v>
      </c>
      <c r="C29" s="175" t="s">
        <v>37</v>
      </c>
      <c r="D29" s="182" t="s">
        <v>37</v>
      </c>
      <c r="E29" s="483" t="s">
        <v>403</v>
      </c>
      <c r="F29" s="484"/>
      <c r="G29" s="484"/>
      <c r="H29" s="485"/>
      <c r="I29" s="177" t="s">
        <v>404</v>
      </c>
      <c r="J29" s="175" t="s">
        <v>37</v>
      </c>
      <c r="K29" s="185">
        <v>46330</v>
      </c>
      <c r="L29" s="185" t="s">
        <v>37</v>
      </c>
      <c r="M29" s="185" t="s">
        <v>37</v>
      </c>
      <c r="N29" s="482"/>
      <c r="O29" s="482"/>
      <c r="P29" s="482"/>
      <c r="Q29" s="482"/>
      <c r="R29" s="175"/>
      <c r="S29" s="175"/>
      <c r="T29" s="175"/>
      <c r="U29" s="175"/>
      <c r="V29" s="175"/>
      <c r="W29" s="173"/>
    </row>
    <row r="30" spans="2:23" s="123" customFormat="1" ht="30" customHeight="1">
      <c r="B30" s="179">
        <v>20</v>
      </c>
      <c r="C30" s="175" t="s">
        <v>37</v>
      </c>
      <c r="D30" s="182" t="s">
        <v>37</v>
      </c>
      <c r="E30" s="483" t="s">
        <v>403</v>
      </c>
      <c r="F30" s="484"/>
      <c r="G30" s="484"/>
      <c r="H30" s="485"/>
      <c r="I30" s="177" t="s">
        <v>405</v>
      </c>
      <c r="J30" s="175" t="s">
        <v>37</v>
      </c>
      <c r="K30" s="185">
        <v>46213</v>
      </c>
      <c r="L30" s="185" t="s">
        <v>37</v>
      </c>
      <c r="M30" s="185" t="s">
        <v>37</v>
      </c>
      <c r="N30" s="482"/>
      <c r="O30" s="482"/>
      <c r="P30" s="482"/>
      <c r="Q30" s="482"/>
      <c r="R30" s="175"/>
      <c r="S30" s="175"/>
      <c r="T30" s="175"/>
      <c r="U30" s="175"/>
      <c r="V30" s="175"/>
      <c r="W30" s="173"/>
    </row>
    <row r="31" spans="2:23" s="123" customFormat="1" ht="30" customHeight="1">
      <c r="B31" s="178">
        <v>21</v>
      </c>
      <c r="C31" s="175" t="s">
        <v>37</v>
      </c>
      <c r="D31" s="182" t="s">
        <v>37</v>
      </c>
      <c r="E31" s="483" t="s">
        <v>403</v>
      </c>
      <c r="F31" s="484"/>
      <c r="G31" s="484"/>
      <c r="H31" s="485"/>
      <c r="I31" s="177" t="s">
        <v>406</v>
      </c>
      <c r="J31" s="175" t="s">
        <v>37</v>
      </c>
      <c r="K31" s="185">
        <v>46329</v>
      </c>
      <c r="L31" s="185" t="s">
        <v>37</v>
      </c>
      <c r="M31" s="185" t="s">
        <v>37</v>
      </c>
      <c r="N31" s="482"/>
      <c r="O31" s="482"/>
      <c r="P31" s="482"/>
      <c r="Q31" s="482"/>
      <c r="R31" s="175"/>
      <c r="S31" s="175"/>
      <c r="T31" s="175"/>
      <c r="U31" s="175"/>
      <c r="V31" s="175"/>
      <c r="W31" s="173"/>
    </row>
    <row r="32" spans="2:23" s="123" customFormat="1" ht="30" customHeight="1">
      <c r="B32" s="223">
        <v>22</v>
      </c>
      <c r="C32" s="175" t="s">
        <v>37</v>
      </c>
      <c r="D32" s="182" t="s">
        <v>37</v>
      </c>
      <c r="E32" s="483" t="s">
        <v>37</v>
      </c>
      <c r="F32" s="484"/>
      <c r="G32" s="484"/>
      <c r="H32" s="485"/>
      <c r="I32" s="177" t="s">
        <v>37</v>
      </c>
      <c r="J32" s="175" t="s">
        <v>37</v>
      </c>
      <c r="K32" s="185">
        <v>46206</v>
      </c>
      <c r="L32" s="185" t="s">
        <v>37</v>
      </c>
      <c r="M32" s="185">
        <v>46204</v>
      </c>
      <c r="N32" s="482"/>
      <c r="O32" s="482"/>
      <c r="P32" s="482"/>
      <c r="Q32" s="482"/>
      <c r="R32" s="175"/>
      <c r="S32" s="175"/>
      <c r="T32" s="175"/>
      <c r="U32" s="175"/>
      <c r="V32" s="175"/>
      <c r="W32" s="173"/>
    </row>
    <row r="33" spans="2:23" s="123" customFormat="1" ht="30" customHeight="1" thickBot="1">
      <c r="B33" s="223">
        <v>23</v>
      </c>
      <c r="C33" s="175" t="s">
        <v>37</v>
      </c>
      <c r="D33" s="182" t="s">
        <v>37</v>
      </c>
      <c r="E33" s="483" t="s">
        <v>37</v>
      </c>
      <c r="F33" s="484"/>
      <c r="G33" s="484"/>
      <c r="H33" s="485"/>
      <c r="I33" s="177" t="s">
        <v>37</v>
      </c>
      <c r="J33" s="175" t="s">
        <v>37</v>
      </c>
      <c r="K33" s="185"/>
      <c r="L33" s="185"/>
      <c r="M33" s="185"/>
      <c r="N33" s="482"/>
      <c r="O33" s="482"/>
      <c r="P33" s="482"/>
      <c r="Q33" s="482"/>
      <c r="R33" s="175"/>
      <c r="S33" s="175"/>
      <c r="T33" s="175"/>
      <c r="U33" s="175"/>
      <c r="V33" s="175"/>
      <c r="W33" s="173"/>
    </row>
    <row r="34" spans="2:23" s="123" customFormat="1" ht="30" customHeight="1">
      <c r="B34" s="179">
        <v>24</v>
      </c>
      <c r="C34" s="175" t="s">
        <v>37</v>
      </c>
      <c r="D34" s="182" t="s">
        <v>37</v>
      </c>
      <c r="E34" s="483" t="s">
        <v>37</v>
      </c>
      <c r="F34" s="484"/>
      <c r="G34" s="484"/>
      <c r="H34" s="485"/>
      <c r="I34" s="177" t="s">
        <v>37</v>
      </c>
      <c r="J34" s="175" t="s">
        <v>37</v>
      </c>
      <c r="K34" s="185"/>
      <c r="L34" s="185"/>
      <c r="M34" s="185"/>
      <c r="N34" s="482"/>
      <c r="O34" s="482"/>
      <c r="P34" s="482"/>
      <c r="Q34" s="482"/>
      <c r="R34" s="175"/>
      <c r="S34" s="175"/>
      <c r="T34" s="175"/>
      <c r="U34" s="175"/>
      <c r="V34" s="175"/>
      <c r="W34" s="173"/>
    </row>
    <row r="35" spans="2:23" s="123" customFormat="1" ht="30" customHeight="1">
      <c r="B35" s="178">
        <v>25</v>
      </c>
      <c r="C35" s="175" t="s">
        <v>37</v>
      </c>
      <c r="D35" s="175" t="s">
        <v>37</v>
      </c>
      <c r="E35" s="483" t="s">
        <v>37</v>
      </c>
      <c r="F35" s="484"/>
      <c r="G35" s="484"/>
      <c r="H35" s="485"/>
      <c r="I35" s="175" t="s">
        <v>37</v>
      </c>
      <c r="J35" s="175" t="s">
        <v>37</v>
      </c>
      <c r="K35" s="185">
        <v>46402</v>
      </c>
      <c r="L35" s="185" t="s">
        <v>37</v>
      </c>
      <c r="M35" s="185">
        <v>46403</v>
      </c>
      <c r="N35" s="482"/>
      <c r="O35" s="482"/>
      <c r="P35" s="482"/>
      <c r="Q35" s="482"/>
      <c r="R35" s="175"/>
      <c r="S35" s="175"/>
      <c r="T35" s="175"/>
      <c r="U35" s="175"/>
      <c r="V35" s="175"/>
      <c r="W35" s="173"/>
    </row>
    <row r="36" spans="2:23" s="123" customFormat="1" ht="30" customHeight="1">
      <c r="B36" s="223">
        <v>26</v>
      </c>
      <c r="C36" s="175" t="s">
        <v>37</v>
      </c>
      <c r="D36" s="182" t="s">
        <v>407</v>
      </c>
      <c r="E36" s="483" t="s">
        <v>408</v>
      </c>
      <c r="F36" s="484"/>
      <c r="G36" s="484"/>
      <c r="H36" s="485"/>
      <c r="I36" s="182" t="s">
        <v>407</v>
      </c>
      <c r="J36" s="175" t="s">
        <v>37</v>
      </c>
      <c r="K36" s="185">
        <v>46185</v>
      </c>
      <c r="L36" s="185" t="s">
        <v>37</v>
      </c>
      <c r="M36" s="185">
        <v>46185</v>
      </c>
      <c r="N36" s="482"/>
      <c r="O36" s="482"/>
      <c r="P36" s="482"/>
      <c r="Q36" s="482"/>
      <c r="R36" s="175"/>
      <c r="S36" s="175"/>
      <c r="T36" s="175"/>
      <c r="U36" s="175"/>
      <c r="V36" s="175"/>
      <c r="W36" s="173"/>
    </row>
    <row r="37" spans="2:23" s="123" customFormat="1" ht="30" customHeight="1">
      <c r="B37" s="223">
        <v>27</v>
      </c>
      <c r="C37" s="175" t="s">
        <v>37</v>
      </c>
      <c r="D37" s="182" t="s">
        <v>232</v>
      </c>
      <c r="E37" s="523" t="s">
        <v>409</v>
      </c>
      <c r="F37" s="524"/>
      <c r="G37" s="524"/>
      <c r="H37" s="525"/>
      <c r="I37" s="182" t="s">
        <v>410</v>
      </c>
      <c r="J37" s="175" t="s">
        <v>37</v>
      </c>
      <c r="K37" s="185">
        <v>46248</v>
      </c>
      <c r="L37" s="185" t="s">
        <v>37</v>
      </c>
      <c r="M37" s="185">
        <v>46248</v>
      </c>
      <c r="N37" s="492"/>
      <c r="O37" s="493"/>
      <c r="P37" s="493"/>
      <c r="Q37" s="494"/>
      <c r="R37" s="175"/>
      <c r="S37" s="175"/>
      <c r="T37" s="175"/>
      <c r="U37" s="175"/>
      <c r="V37" s="175"/>
      <c r="W37" s="173"/>
    </row>
    <row r="38" spans="2:23" s="123" customFormat="1" ht="30" customHeight="1">
      <c r="B38" s="223">
        <v>28</v>
      </c>
      <c r="C38" s="175" t="s">
        <v>37</v>
      </c>
      <c r="D38" s="182" t="s">
        <v>312</v>
      </c>
      <c r="E38" s="483" t="s">
        <v>411</v>
      </c>
      <c r="F38" s="484"/>
      <c r="G38" s="484"/>
      <c r="H38" s="485"/>
      <c r="I38" s="182" t="s">
        <v>412</v>
      </c>
      <c r="J38" s="175" t="s">
        <v>37</v>
      </c>
      <c r="K38" s="185">
        <v>46399</v>
      </c>
      <c r="L38" s="185" t="s">
        <v>37</v>
      </c>
      <c r="M38" s="185">
        <v>46400</v>
      </c>
      <c r="N38" s="492"/>
      <c r="O38" s="493"/>
      <c r="P38" s="493"/>
      <c r="Q38" s="494"/>
      <c r="R38" s="175"/>
      <c r="S38" s="175"/>
      <c r="T38" s="175"/>
      <c r="U38" s="175"/>
      <c r="V38" s="175"/>
      <c r="W38" s="173"/>
    </row>
    <row r="39" spans="2:23" s="123" customFormat="1" ht="30" customHeight="1">
      <c r="B39" s="223">
        <v>29</v>
      </c>
      <c r="C39" s="175" t="s">
        <v>37</v>
      </c>
      <c r="D39" s="182" t="s">
        <v>413</v>
      </c>
      <c r="E39" s="483" t="s">
        <v>414</v>
      </c>
      <c r="F39" s="484"/>
      <c r="G39" s="484"/>
      <c r="H39" s="485"/>
      <c r="I39" s="175" t="s">
        <v>415</v>
      </c>
      <c r="J39" s="175" t="s">
        <v>37</v>
      </c>
      <c r="K39" s="185" t="s">
        <v>416</v>
      </c>
      <c r="L39" s="185" t="s">
        <v>37</v>
      </c>
      <c r="M39" s="185">
        <v>46722</v>
      </c>
      <c r="N39" s="492"/>
      <c r="O39" s="493"/>
      <c r="P39" s="493"/>
      <c r="Q39" s="494"/>
      <c r="R39" s="175"/>
      <c r="S39" s="175"/>
      <c r="T39" s="175"/>
      <c r="U39" s="175"/>
      <c r="V39" s="175"/>
      <c r="W39" s="173"/>
    </row>
    <row r="40" spans="2:23" s="123" customFormat="1" ht="30" customHeight="1">
      <c r="B40" s="223">
        <v>30</v>
      </c>
      <c r="C40" s="175" t="s">
        <v>37</v>
      </c>
      <c r="D40" s="175" t="s">
        <v>37</v>
      </c>
      <c r="E40" s="483" t="s">
        <v>417</v>
      </c>
      <c r="F40" s="484"/>
      <c r="G40" s="484"/>
      <c r="H40" s="485"/>
      <c r="I40" s="177">
        <v>4108</v>
      </c>
      <c r="J40" s="175" t="s">
        <v>37</v>
      </c>
      <c r="K40" s="185">
        <v>46176</v>
      </c>
      <c r="L40" s="185" t="s">
        <v>37</v>
      </c>
      <c r="M40" s="185" t="s">
        <v>37</v>
      </c>
      <c r="N40" s="482"/>
      <c r="O40" s="482"/>
      <c r="P40" s="482"/>
      <c r="Q40" s="482"/>
      <c r="R40" s="175"/>
      <c r="S40" s="175"/>
      <c r="T40" s="175"/>
      <c r="U40" s="175"/>
      <c r="V40" s="175"/>
      <c r="W40" s="173"/>
    </row>
    <row r="41" spans="2:23" s="123" customFormat="1" ht="30" customHeight="1">
      <c r="B41" s="223">
        <v>31</v>
      </c>
      <c r="C41" s="175" t="s">
        <v>37</v>
      </c>
      <c r="D41" s="182" t="s">
        <v>306</v>
      </c>
      <c r="E41" s="483" t="s">
        <v>418</v>
      </c>
      <c r="F41" s="484"/>
      <c r="G41" s="484"/>
      <c r="H41" s="485"/>
      <c r="I41" s="315" t="s">
        <v>419</v>
      </c>
      <c r="J41" s="175" t="s">
        <v>37</v>
      </c>
      <c r="K41" s="185">
        <v>46206</v>
      </c>
      <c r="L41" s="185" t="s">
        <v>37</v>
      </c>
      <c r="M41" s="185" t="s">
        <v>37</v>
      </c>
      <c r="N41" s="482"/>
      <c r="O41" s="482"/>
      <c r="P41" s="482"/>
      <c r="Q41" s="482"/>
      <c r="R41" s="175"/>
      <c r="S41" s="175"/>
      <c r="T41" s="175"/>
      <c r="U41" s="175"/>
      <c r="V41" s="175"/>
      <c r="W41" s="173"/>
    </row>
    <row r="42" spans="2:23" s="123" customFormat="1" ht="30" customHeight="1">
      <c r="B42" s="309"/>
      <c r="C42" s="165"/>
      <c r="D42" s="310"/>
      <c r="E42" s="311"/>
      <c r="F42" s="311"/>
      <c r="G42" s="311"/>
      <c r="H42" s="311"/>
      <c r="I42" s="312"/>
      <c r="J42" s="165"/>
      <c r="K42" s="313"/>
      <c r="L42" s="313"/>
      <c r="M42" s="313"/>
      <c r="N42" s="165"/>
      <c r="O42" s="165"/>
      <c r="P42" s="165"/>
      <c r="Q42" s="165"/>
      <c r="R42" s="165"/>
      <c r="S42" s="165"/>
      <c r="T42" s="165"/>
      <c r="U42" s="165"/>
      <c r="V42" s="165"/>
      <c r="W42" s="314"/>
    </row>
    <row r="43" spans="2:23" s="123" customFormat="1" ht="30" customHeight="1"/>
    <row r="44" spans="2:23" s="123" customFormat="1" ht="27" customHeight="1"/>
    <row r="45" spans="2:23" s="123" customFormat="1" ht="15.75">
      <c r="B45" s="179"/>
      <c r="C45" s="519" t="s">
        <v>420</v>
      </c>
      <c r="D45" s="168"/>
      <c r="E45" s="489" t="s">
        <v>421</v>
      </c>
      <c r="F45" s="490"/>
      <c r="G45" s="490"/>
      <c r="H45" s="491"/>
      <c r="I45" s="164"/>
      <c r="J45" s="85"/>
      <c r="K45" s="166"/>
      <c r="L45" s="166"/>
      <c r="M45" s="172"/>
      <c r="N45" s="165"/>
      <c r="O45" s="165"/>
      <c r="P45" s="165"/>
      <c r="Q45" s="165"/>
      <c r="R45" s="85"/>
      <c r="S45" s="85"/>
      <c r="T45" s="85"/>
      <c r="U45" s="85"/>
      <c r="V45" s="85"/>
      <c r="W45" s="1"/>
    </row>
    <row r="46" spans="2:23" s="123" customFormat="1" ht="16.5" thickBot="1">
      <c r="B46" s="57" t="str">
        <f>IF(E54="","",1+#REF!)</f>
        <v/>
      </c>
      <c r="C46" s="520"/>
      <c r="D46" s="126"/>
      <c r="E46" s="486" t="s">
        <v>422</v>
      </c>
      <c r="F46" s="487"/>
      <c r="G46" s="487"/>
      <c r="H46" s="488"/>
      <c r="I46" s="164"/>
      <c r="J46" s="85"/>
      <c r="K46" s="166"/>
      <c r="L46" s="166"/>
      <c r="M46" s="125"/>
      <c r="N46" s="165"/>
      <c r="O46" s="165"/>
      <c r="P46" s="165"/>
      <c r="Q46" s="165"/>
      <c r="R46" s="85"/>
      <c r="S46" s="85"/>
      <c r="T46" s="85"/>
      <c r="U46" s="85"/>
      <c r="V46" s="85"/>
      <c r="W46" s="1"/>
    </row>
    <row r="47" spans="2:23" s="123" customFormat="1" ht="16.5" thickBot="1">
      <c r="B47" s="57" t="str">
        <f>IF(E55="","",1+B46)</f>
        <v/>
      </c>
      <c r="C47" s="520"/>
      <c r="D47" s="127"/>
      <c r="E47" s="486" t="s">
        <v>423</v>
      </c>
      <c r="F47" s="487"/>
      <c r="G47" s="487"/>
      <c r="H47" s="488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W47" s="1"/>
    </row>
  </sheetData>
  <mergeCells count="87">
    <mergeCell ref="E37:H37"/>
    <mergeCell ref="E38:H38"/>
    <mergeCell ref="E39:H39"/>
    <mergeCell ref="C2:W2"/>
    <mergeCell ref="N37:Q37"/>
    <mergeCell ref="N38:Q38"/>
    <mergeCell ref="N39:Q39"/>
    <mergeCell ref="C45:C47"/>
    <mergeCell ref="E34:H34"/>
    <mergeCell ref="E31:H31"/>
    <mergeCell ref="E32:H32"/>
    <mergeCell ref="E33:H33"/>
    <mergeCell ref="E28:H28"/>
    <mergeCell ref="E29:H29"/>
    <mergeCell ref="E27:H27"/>
    <mergeCell ref="E30:H30"/>
    <mergeCell ref="E25:H25"/>
    <mergeCell ref="E23:H23"/>
    <mergeCell ref="Q6:R6"/>
    <mergeCell ref="G5:I5"/>
    <mergeCell ref="M5:O5"/>
    <mergeCell ref="M7:O7"/>
    <mergeCell ref="E12:H12"/>
    <mergeCell ref="N12:Q12"/>
    <mergeCell ref="E10:H10"/>
    <mergeCell ref="N10:Q10"/>
    <mergeCell ref="R12:S12"/>
    <mergeCell ref="B1:T1"/>
    <mergeCell ref="B9:W9"/>
    <mergeCell ref="E11:H11"/>
    <mergeCell ref="N11:Q11"/>
    <mergeCell ref="Q3:W3"/>
    <mergeCell ref="F3:O3"/>
    <mergeCell ref="S6:T6"/>
    <mergeCell ref="S7:T7"/>
    <mergeCell ref="S5:T5"/>
    <mergeCell ref="Q5:R5"/>
    <mergeCell ref="Q7:R7"/>
    <mergeCell ref="U5:V5"/>
    <mergeCell ref="U6:V6"/>
    <mergeCell ref="U7:V7"/>
    <mergeCell ref="G7:I7"/>
    <mergeCell ref="E15:H15"/>
    <mergeCell ref="N13:Q13"/>
    <mergeCell ref="N15:Q15"/>
    <mergeCell ref="E13:H13"/>
    <mergeCell ref="E18:H18"/>
    <mergeCell ref="E14:H14"/>
    <mergeCell ref="N14:Q14"/>
    <mergeCell ref="E19:H19"/>
    <mergeCell ref="N19:Q19"/>
    <mergeCell ref="E16:H16"/>
    <mergeCell ref="N16:Q16"/>
    <mergeCell ref="N18:Q18"/>
    <mergeCell ref="E20:H20"/>
    <mergeCell ref="E22:H22"/>
    <mergeCell ref="E21:H21"/>
    <mergeCell ref="N22:Q22"/>
    <mergeCell ref="N21:Q21"/>
    <mergeCell ref="N20:Q20"/>
    <mergeCell ref="E35:H35"/>
    <mergeCell ref="N23:Q23"/>
    <mergeCell ref="N26:Q26"/>
    <mergeCell ref="N25:Q25"/>
    <mergeCell ref="N24:Q24"/>
    <mergeCell ref="N30:Q30"/>
    <mergeCell ref="N27:Q27"/>
    <mergeCell ref="N29:Q29"/>
    <mergeCell ref="N28:Q28"/>
    <mergeCell ref="E24:H24"/>
    <mergeCell ref="E26:H26"/>
    <mergeCell ref="N41:Q41"/>
    <mergeCell ref="E41:H41"/>
    <mergeCell ref="E47:H47"/>
    <mergeCell ref="E45:H45"/>
    <mergeCell ref="E17:H17"/>
    <mergeCell ref="N17:Q17"/>
    <mergeCell ref="E46:H46"/>
    <mergeCell ref="N34:Q34"/>
    <mergeCell ref="N33:Q33"/>
    <mergeCell ref="N32:Q32"/>
    <mergeCell ref="N31:Q31"/>
    <mergeCell ref="N35:Q35"/>
    <mergeCell ref="N36:Q36"/>
    <mergeCell ref="N40:Q40"/>
    <mergeCell ref="E36:H36"/>
    <mergeCell ref="E40:H40"/>
  </mergeCells>
  <phoneticPr fontId="17" type="noConversion"/>
  <conditionalFormatting sqref="C11:C12">
    <cfRule type="expression" dxfId="27" priority="300">
      <formula>$D11=0</formula>
    </cfRule>
  </conditionalFormatting>
  <conditionalFormatting sqref="C15">
    <cfRule type="expression" dxfId="26" priority="289">
      <formula>$D15=0</formula>
    </cfRule>
  </conditionalFormatting>
  <conditionalFormatting sqref="C13:H13">
    <cfRule type="expression" dxfId="25" priority="294">
      <formula>$D13=0</formula>
    </cfRule>
  </conditionalFormatting>
  <conditionalFormatting sqref="D12">
    <cfRule type="expression" dxfId="24" priority="301">
      <formula>$D12=0</formula>
    </cfRule>
  </conditionalFormatting>
  <conditionalFormatting sqref="D19:E19">
    <cfRule type="expression" dxfId="23" priority="108">
      <formula>$D19=0</formula>
    </cfRule>
  </conditionalFormatting>
  <conditionalFormatting sqref="E11:H12">
    <cfRule type="expression" dxfId="22" priority="302">
      <formula>$D11=0</formula>
    </cfRule>
  </conditionalFormatting>
  <conditionalFormatting sqref="K17 M17">
    <cfRule type="cellIs" dxfId="21" priority="1" operator="equal">
      <formula>""</formula>
    </cfRule>
    <cfRule type="cellIs" dxfId="20" priority="2" operator="lessThanOrEqual">
      <formula>TODAY()</formula>
    </cfRule>
    <cfRule type="cellIs" dxfId="19" priority="3" operator="between">
      <formula>TODAY()</formula>
      <formula>TODAY()+60</formula>
    </cfRule>
    <cfRule type="cellIs" dxfId="18" priority="4" operator="greaterThanOrEqual">
      <formula>TODAY()+60</formula>
    </cfRule>
  </conditionalFormatting>
  <conditionalFormatting sqref="K11:M42">
    <cfRule type="cellIs" dxfId="17" priority="5" operator="equal">
      <formula>""</formula>
    </cfRule>
    <cfRule type="cellIs" dxfId="16" priority="6" operator="lessThanOrEqual">
      <formula>TODAY()</formula>
    </cfRule>
    <cfRule type="cellIs" dxfId="15" priority="7" operator="between">
      <formula>TODAY()</formula>
      <formula>TODAY()+60</formula>
    </cfRule>
    <cfRule type="cellIs" dxfId="14" priority="8" operator="greaterThanOrEqual">
      <formula>TODAY()+60</formula>
    </cfRule>
  </conditionalFormatting>
  <conditionalFormatting sqref="M45 K45:L46">
    <cfRule type="cellIs" dxfId="13" priority="52" operator="equal">
      <formula>""</formula>
    </cfRule>
    <cfRule type="cellIs" dxfId="12" priority="53" operator="lessThanOrEqual">
      <formula>TODAY()</formula>
    </cfRule>
    <cfRule type="cellIs" dxfId="11" priority="54" operator="between">
      <formula>TODAY()</formula>
      <formula>TODAY()+60</formula>
    </cfRule>
    <cfRule type="cellIs" dxfId="10" priority="55" operator="greaterThanOrEqual">
      <formula>TODAY()+60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38" fitToHeight="0" orientation="landscape" r:id="rId1"/>
  <headerFooter>
    <oddFooter>&amp;C&amp;1#&amp;"Arial Black"&amp;11&amp;K737373PÚBLICA</oddFooter>
  </headerFooter>
  <ignoredErrors>
    <ignoredError sqref="X7 X6" unlocked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topLeftCell="A4" zoomScaleNormal="100" workbookViewId="0">
      <selection activeCell="N16" sqref="N16"/>
    </sheetView>
  </sheetViews>
  <sheetFormatPr defaultRowHeight="15"/>
  <cols>
    <col min="1" max="1" width="14.85546875" customWidth="1"/>
    <col min="2" max="2" width="12.42578125" customWidth="1"/>
    <col min="3" max="3" width="20.28515625" customWidth="1"/>
    <col min="4" max="4" width="17.85546875" customWidth="1"/>
    <col min="5" max="5" width="14.85546875" customWidth="1"/>
    <col min="6" max="6" width="24.5703125" customWidth="1"/>
    <col min="7" max="7" width="34.140625" customWidth="1"/>
  </cols>
  <sheetData>
    <row r="1" spans="1:7" ht="21">
      <c r="A1" s="526" t="s">
        <v>424</v>
      </c>
      <c r="B1" s="527"/>
      <c r="C1" s="527"/>
      <c r="D1" s="527"/>
      <c r="E1" s="196"/>
      <c r="F1" s="528" t="s">
        <v>425</v>
      </c>
      <c r="G1" s="197" t="s">
        <v>426</v>
      </c>
    </row>
    <row r="2" spans="1:7" ht="21">
      <c r="A2" s="198" t="s">
        <v>2</v>
      </c>
      <c r="B2" s="199" t="str">
        <f>Geral!G5</f>
        <v>SS-73</v>
      </c>
      <c r="C2" s="200" t="s">
        <v>427</v>
      </c>
      <c r="D2" s="201">
        <v>46078</v>
      </c>
      <c r="E2" s="201"/>
      <c r="F2" s="529"/>
      <c r="G2" s="202" t="str">
        <f>Geral!W7</f>
        <v>WAGNER SMITH</v>
      </c>
    </row>
    <row r="3" spans="1:7" ht="21">
      <c r="A3" s="198"/>
      <c r="B3" s="203"/>
      <c r="C3" s="203"/>
      <c r="D3" s="203"/>
      <c r="E3" s="203"/>
      <c r="F3" s="529"/>
      <c r="G3" s="202" t="s">
        <v>363</v>
      </c>
    </row>
    <row r="4" spans="1:7" ht="21.75" thickBot="1">
      <c r="A4" s="531" t="s">
        <v>428</v>
      </c>
      <c r="B4" s="532"/>
      <c r="C4" s="204" t="s">
        <v>8</v>
      </c>
      <c r="D4" s="205" t="s">
        <v>361</v>
      </c>
      <c r="E4" s="205"/>
      <c r="F4" s="530"/>
      <c r="G4" s="202" t="s">
        <v>365</v>
      </c>
    </row>
    <row r="5" spans="1:7">
      <c r="A5" s="206" t="s">
        <v>429</v>
      </c>
      <c r="B5" s="207" t="s">
        <v>430</v>
      </c>
      <c r="C5" s="207" t="s">
        <v>431</v>
      </c>
      <c r="D5" s="207" t="s">
        <v>432</v>
      </c>
      <c r="E5" s="207" t="s">
        <v>433</v>
      </c>
      <c r="F5" s="208" t="s">
        <v>434</v>
      </c>
      <c r="G5" s="209" t="s">
        <v>435</v>
      </c>
    </row>
    <row r="6" spans="1:7">
      <c r="A6" s="279">
        <v>1</v>
      </c>
      <c r="B6" s="286" t="s">
        <v>436</v>
      </c>
      <c r="C6" s="283" t="s">
        <v>437</v>
      </c>
      <c r="D6" s="288">
        <v>45373</v>
      </c>
      <c r="E6" s="295"/>
      <c r="F6" s="303" t="s">
        <v>438</v>
      </c>
      <c r="G6" s="291" t="s">
        <v>439</v>
      </c>
    </row>
    <row r="7" spans="1:7">
      <c r="A7" s="280">
        <v>1</v>
      </c>
      <c r="B7" s="286" t="s">
        <v>440</v>
      </c>
      <c r="C7" s="284">
        <v>22307827</v>
      </c>
      <c r="D7" s="288">
        <v>45041</v>
      </c>
      <c r="E7" s="296">
        <v>46868</v>
      </c>
      <c r="F7" s="304" t="s">
        <v>438</v>
      </c>
      <c r="G7" s="284" t="s">
        <v>439</v>
      </c>
    </row>
    <row r="8" spans="1:7">
      <c r="A8" s="280">
        <v>1</v>
      </c>
      <c r="B8" s="286" t="s">
        <v>441</v>
      </c>
      <c r="C8" s="284">
        <v>22307888</v>
      </c>
      <c r="D8" s="288">
        <v>45041</v>
      </c>
      <c r="E8" s="296">
        <v>46868</v>
      </c>
      <c r="F8" s="305" t="s">
        <v>438</v>
      </c>
      <c r="G8" s="292" t="s">
        <v>442</v>
      </c>
    </row>
    <row r="9" spans="1:7">
      <c r="A9" s="280">
        <v>1</v>
      </c>
      <c r="B9" s="286" t="s">
        <v>436</v>
      </c>
      <c r="C9" s="284">
        <v>22307887</v>
      </c>
      <c r="D9" s="288">
        <v>46867</v>
      </c>
      <c r="E9" s="296"/>
      <c r="F9" s="304" t="s">
        <v>438</v>
      </c>
      <c r="G9" s="284" t="s">
        <v>443</v>
      </c>
    </row>
    <row r="10" spans="1:7">
      <c r="A10" s="280">
        <v>1</v>
      </c>
      <c r="B10" s="286" t="s">
        <v>444</v>
      </c>
      <c r="C10" s="284" t="s">
        <v>445</v>
      </c>
      <c r="D10" s="289">
        <v>45364</v>
      </c>
      <c r="E10" s="297"/>
      <c r="F10" s="305" t="s">
        <v>446</v>
      </c>
      <c r="G10" s="292" t="s">
        <v>447</v>
      </c>
    </row>
    <row r="11" spans="1:7">
      <c r="A11" s="280">
        <v>1</v>
      </c>
      <c r="B11" s="286" t="s">
        <v>448</v>
      </c>
      <c r="C11" s="284" t="s">
        <v>449</v>
      </c>
      <c r="D11" s="289">
        <v>45404</v>
      </c>
      <c r="E11" s="297"/>
      <c r="F11" s="304" t="s">
        <v>450</v>
      </c>
      <c r="G11" s="284" t="s">
        <v>451</v>
      </c>
    </row>
    <row r="12" spans="1:7">
      <c r="A12" s="280">
        <v>1</v>
      </c>
      <c r="B12" s="286" t="s">
        <v>448</v>
      </c>
      <c r="C12" s="284" t="s">
        <v>452</v>
      </c>
      <c r="D12" s="289">
        <v>45404</v>
      </c>
      <c r="E12" s="297"/>
      <c r="F12" s="305" t="s">
        <v>450</v>
      </c>
      <c r="G12" s="292" t="s">
        <v>451</v>
      </c>
    </row>
    <row r="13" spans="1:7">
      <c r="A13" s="280">
        <v>1</v>
      </c>
      <c r="B13" s="286" t="s">
        <v>436</v>
      </c>
      <c r="C13" s="284" t="s">
        <v>453</v>
      </c>
      <c r="D13" s="289">
        <v>45456</v>
      </c>
      <c r="E13" s="297"/>
      <c r="F13" s="304" t="s">
        <v>450</v>
      </c>
      <c r="G13" s="284" t="s">
        <v>454</v>
      </c>
    </row>
    <row r="14" spans="1:7">
      <c r="A14" s="280">
        <v>1</v>
      </c>
      <c r="B14" s="286" t="s">
        <v>455</v>
      </c>
      <c r="C14" s="284" t="s">
        <v>456</v>
      </c>
      <c r="D14" s="289">
        <v>45527</v>
      </c>
      <c r="E14" s="297"/>
      <c r="F14" s="305" t="s">
        <v>450</v>
      </c>
      <c r="G14" s="292" t="s">
        <v>457</v>
      </c>
    </row>
    <row r="15" spans="1:7">
      <c r="A15" s="280">
        <v>1</v>
      </c>
      <c r="B15" s="286" t="s">
        <v>458</v>
      </c>
      <c r="C15" s="284" t="s">
        <v>459</v>
      </c>
      <c r="D15" s="289"/>
      <c r="E15" s="297">
        <v>46827</v>
      </c>
      <c r="F15" s="304" t="s">
        <v>460</v>
      </c>
      <c r="G15" s="284" t="s">
        <v>447</v>
      </c>
    </row>
    <row r="16" spans="1:7">
      <c r="A16" s="280">
        <v>1</v>
      </c>
      <c r="B16" s="286" t="s">
        <v>444</v>
      </c>
      <c r="C16" s="284" t="s">
        <v>461</v>
      </c>
      <c r="D16" s="289">
        <v>44321</v>
      </c>
      <c r="E16" s="297"/>
      <c r="F16" s="305" t="s">
        <v>462</v>
      </c>
      <c r="G16" s="292" t="s">
        <v>447</v>
      </c>
    </row>
    <row r="17" spans="1:7" s="231" customFormat="1">
      <c r="A17" s="280">
        <v>1</v>
      </c>
      <c r="B17" s="286" t="s">
        <v>436</v>
      </c>
      <c r="C17" s="250" t="s">
        <v>463</v>
      </c>
      <c r="D17" s="231" t="s">
        <v>464</v>
      </c>
      <c r="E17" s="240"/>
      <c r="F17" s="306" t="s">
        <v>465</v>
      </c>
      <c r="G17" s="293" t="s">
        <v>457</v>
      </c>
    </row>
    <row r="18" spans="1:7" s="231" customFormat="1">
      <c r="A18" s="281">
        <v>1</v>
      </c>
      <c r="B18" s="286" t="s">
        <v>436</v>
      </c>
      <c r="C18" s="285" t="s">
        <v>466</v>
      </c>
      <c r="D18" s="231" t="s">
        <v>467</v>
      </c>
      <c r="E18" s="298"/>
      <c r="F18" s="307" t="s">
        <v>468</v>
      </c>
      <c r="G18" s="292" t="s">
        <v>457</v>
      </c>
    </row>
    <row r="19" spans="1:7">
      <c r="A19" s="282"/>
      <c r="B19" s="210"/>
      <c r="C19" s="287"/>
      <c r="D19" s="215"/>
      <c r="E19" s="290"/>
      <c r="F19" s="299"/>
      <c r="G19" s="300"/>
    </row>
    <row r="20" spans="1:7">
      <c r="A20" s="211"/>
      <c r="B20" s="210"/>
      <c r="C20" s="210"/>
      <c r="D20" s="215"/>
      <c r="E20" s="215"/>
      <c r="F20" s="214"/>
      <c r="G20" s="301"/>
    </row>
    <row r="21" spans="1:7">
      <c r="A21" s="211"/>
      <c r="B21" s="210"/>
      <c r="C21" s="210"/>
      <c r="D21" s="215"/>
      <c r="E21" s="215"/>
      <c r="F21" s="213"/>
      <c r="G21" s="302"/>
    </row>
    <row r="22" spans="1:7">
      <c r="A22" s="232"/>
      <c r="B22" s="210"/>
      <c r="C22" s="210"/>
      <c r="D22" s="231"/>
      <c r="E22" s="215"/>
      <c r="F22" s="214"/>
      <c r="G22" s="292"/>
    </row>
    <row r="23" spans="1:7">
      <c r="A23" s="211"/>
      <c r="B23" s="210"/>
      <c r="C23" s="210"/>
      <c r="D23" s="215"/>
      <c r="E23" s="215"/>
      <c r="F23" s="308"/>
      <c r="G23" s="284"/>
    </row>
    <row r="24" spans="1:7">
      <c r="A24" s="211"/>
      <c r="B24" s="210"/>
      <c r="C24" s="210"/>
      <c r="D24" s="215"/>
      <c r="E24" s="215"/>
      <c r="F24" s="278"/>
      <c r="G24" s="294"/>
    </row>
    <row r="25" spans="1:7">
      <c r="A25" s="216"/>
      <c r="B25" s="210"/>
      <c r="C25" s="210"/>
      <c r="D25" s="215"/>
      <c r="E25" s="215"/>
      <c r="F25" s="277"/>
      <c r="G25" s="287"/>
    </row>
    <row r="26" spans="1:7">
      <c r="A26" s="211"/>
      <c r="B26" s="210"/>
      <c r="C26" s="210"/>
      <c r="D26" s="215"/>
      <c r="E26" s="215"/>
      <c r="F26" s="276"/>
      <c r="G26" s="273"/>
    </row>
    <row r="27" spans="1:7">
      <c r="A27" s="211"/>
      <c r="B27" s="210"/>
      <c r="C27" s="210"/>
      <c r="D27" s="215"/>
      <c r="E27" s="215"/>
      <c r="F27" s="275"/>
      <c r="G27" s="210"/>
    </row>
    <row r="28" spans="1:7">
      <c r="A28" s="211"/>
      <c r="B28" s="210"/>
      <c r="C28" s="210"/>
      <c r="D28" s="215"/>
      <c r="E28" s="215"/>
      <c r="F28" s="276"/>
      <c r="G28" s="273"/>
    </row>
    <row r="29" spans="1:7">
      <c r="A29" s="211"/>
      <c r="B29" s="210"/>
      <c r="C29" s="210"/>
      <c r="D29" s="215"/>
      <c r="E29" s="215"/>
      <c r="F29" s="275"/>
      <c r="G29" s="210"/>
    </row>
    <row r="30" spans="1:7">
      <c r="A30" s="211"/>
      <c r="B30" s="212"/>
      <c r="C30" s="210"/>
      <c r="D30" s="215"/>
      <c r="E30" s="215"/>
      <c r="F30" s="276"/>
      <c r="G30" s="274"/>
    </row>
    <row r="31" spans="1:7">
      <c r="A31" s="211"/>
      <c r="B31" s="212"/>
      <c r="C31" s="210"/>
      <c r="D31" s="215"/>
      <c r="E31" s="215"/>
      <c r="F31" s="275"/>
      <c r="G31" s="212"/>
    </row>
    <row r="32" spans="1:7">
      <c r="A32" s="211"/>
      <c r="B32" s="212"/>
      <c r="C32" s="210"/>
      <c r="D32" s="215"/>
      <c r="E32" s="215"/>
      <c r="F32" s="276"/>
      <c r="G32" s="274"/>
    </row>
    <row r="33" spans="1:7">
      <c r="A33" s="211"/>
      <c r="B33" s="212"/>
      <c r="C33" s="210"/>
      <c r="D33" s="215"/>
      <c r="E33" s="215"/>
      <c r="F33" s="275"/>
      <c r="G33" s="212"/>
    </row>
    <row r="34" spans="1:7">
      <c r="A34" s="211"/>
      <c r="B34" s="212"/>
      <c r="C34" s="210"/>
      <c r="D34" s="215"/>
      <c r="E34" s="215"/>
      <c r="F34" s="276"/>
      <c r="G34" s="274"/>
    </row>
    <row r="35" spans="1:7">
      <c r="A35" s="211"/>
      <c r="B35" s="212"/>
      <c r="C35" s="210"/>
      <c r="D35" s="215"/>
      <c r="E35" s="215"/>
      <c r="F35" s="275"/>
      <c r="G35" s="212"/>
    </row>
    <row r="36" spans="1:7">
      <c r="A36" s="217"/>
      <c r="B36" s="212"/>
      <c r="C36" s="210"/>
      <c r="D36" s="215"/>
      <c r="E36" s="215"/>
      <c r="F36" s="278"/>
      <c r="G36" s="274"/>
    </row>
    <row r="37" spans="1:7">
      <c r="A37" s="211"/>
      <c r="B37" s="212"/>
      <c r="C37" s="210"/>
      <c r="D37" s="215"/>
      <c r="E37" s="215"/>
      <c r="F37" s="275"/>
      <c r="G37" s="212"/>
    </row>
    <row r="38" spans="1:7">
      <c r="A38" s="211"/>
      <c r="B38" s="212"/>
      <c r="C38" s="210"/>
      <c r="D38" s="215"/>
      <c r="E38" s="215"/>
      <c r="F38" s="276"/>
      <c r="G38" s="274"/>
    </row>
    <row r="39" spans="1:7">
      <c r="A39" s="211"/>
      <c r="B39" s="212"/>
      <c r="C39" s="212"/>
      <c r="D39" s="212"/>
      <c r="E39" s="212"/>
      <c r="F39" s="533"/>
      <c r="G39" s="534"/>
    </row>
    <row r="40" spans="1:7" ht="15.75" thickBot="1">
      <c r="A40" s="218"/>
      <c r="B40" s="212"/>
      <c r="C40" s="219"/>
      <c r="D40" s="219"/>
      <c r="E40" s="219"/>
      <c r="F40" s="220"/>
      <c r="G40" s="221"/>
    </row>
  </sheetData>
  <mergeCells count="4">
    <mergeCell ref="A1:D1"/>
    <mergeCell ref="F1:F4"/>
    <mergeCell ref="A4:B4"/>
    <mergeCell ref="F39:G39"/>
  </mergeCells>
  <dataValidations count="1">
    <dataValidation allowBlank="1" showInputMessage="1" showErrorMessage="1" sqref="B2 C4:E4 G1:G4 B6:B40" xr:uid="{00000000-0002-0000-0300-000000000000}"/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/>
  <dimension ref="A1"/>
  <sheetViews>
    <sheetView workbookViewId="0">
      <selection activeCell="F6" sqref="F6"/>
    </sheetView>
  </sheetViews>
  <sheetFormatPr defaultColWidth="9.140625" defaultRowHeight="15"/>
  <cols>
    <col min="1" max="16384" width="9.140625" style="32"/>
  </cols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4"/>
  <dimension ref="B1:F46"/>
  <sheetViews>
    <sheetView zoomScale="80" zoomScaleNormal="80" workbookViewId="0">
      <selection activeCell="K3" sqref="K3"/>
    </sheetView>
  </sheetViews>
  <sheetFormatPr defaultColWidth="9.140625" defaultRowHeight="15"/>
  <cols>
    <col min="1" max="1" width="9.140625" style="1"/>
    <col min="2" max="2" width="9.140625" style="1" hidden="1" customWidth="1"/>
    <col min="3" max="3" width="54.85546875" style="1" hidden="1" customWidth="1"/>
    <col min="4" max="5" width="9.140625" style="1" hidden="1" customWidth="1"/>
    <col min="6" max="6" width="48.5703125" style="1" hidden="1" customWidth="1"/>
    <col min="7" max="10" width="0" style="1" hidden="1" customWidth="1"/>
    <col min="11" max="16384" width="9.140625" style="1"/>
  </cols>
  <sheetData>
    <row r="1" spans="2:6" ht="15.75" thickBot="1"/>
    <row r="2" spans="2:6" s="10" customFormat="1" ht="45" customHeight="1" thickBot="1">
      <c r="B2" s="9"/>
      <c r="C2" s="9" t="s">
        <v>469</v>
      </c>
      <c r="E2" s="9"/>
      <c r="F2" s="9" t="s">
        <v>470</v>
      </c>
    </row>
    <row r="3" spans="2:6">
      <c r="C3" s="11" t="s">
        <v>43</v>
      </c>
      <c r="F3" s="12" t="s">
        <v>471</v>
      </c>
    </row>
    <row r="4" spans="2:6">
      <c r="C4" s="12" t="s">
        <v>471</v>
      </c>
      <c r="F4" s="13" t="s">
        <v>472</v>
      </c>
    </row>
    <row r="5" spans="2:6">
      <c r="C5" s="12" t="s">
        <v>473</v>
      </c>
      <c r="F5" s="12" t="s">
        <v>473</v>
      </c>
    </row>
    <row r="6" spans="2:6">
      <c r="C6" s="14" t="s">
        <v>175</v>
      </c>
      <c r="F6" s="12" t="s">
        <v>178</v>
      </c>
    </row>
    <row r="7" spans="2:6">
      <c r="C7" s="12" t="s">
        <v>163</v>
      </c>
      <c r="F7" s="13" t="s">
        <v>474</v>
      </c>
    </row>
    <row r="8" spans="2:6">
      <c r="C8" s="12" t="s">
        <v>178</v>
      </c>
      <c r="F8" s="12" t="s">
        <v>475</v>
      </c>
    </row>
    <row r="9" spans="2:6">
      <c r="C9" s="12" t="s">
        <v>475</v>
      </c>
      <c r="F9" s="13" t="s">
        <v>476</v>
      </c>
    </row>
    <row r="10" spans="2:6">
      <c r="C10" s="15" t="s">
        <v>476</v>
      </c>
      <c r="F10" s="13" t="s">
        <v>84</v>
      </c>
    </row>
    <row r="11" spans="2:6">
      <c r="C11" s="15" t="s">
        <v>56</v>
      </c>
      <c r="F11" s="12" t="s">
        <v>78</v>
      </c>
    </row>
    <row r="12" spans="2:6">
      <c r="C12" s="12" t="s">
        <v>78</v>
      </c>
      <c r="F12" s="13" t="s">
        <v>477</v>
      </c>
    </row>
    <row r="13" spans="2:6">
      <c r="C13" s="15" t="s">
        <v>477</v>
      </c>
      <c r="F13" s="13" t="s">
        <v>478</v>
      </c>
    </row>
    <row r="14" spans="2:6">
      <c r="C14" s="15" t="s">
        <v>478</v>
      </c>
      <c r="F14" s="13" t="s">
        <v>479</v>
      </c>
    </row>
    <row r="15" spans="2:6">
      <c r="C15" s="15" t="s">
        <v>480</v>
      </c>
      <c r="F15" s="13" t="s">
        <v>480</v>
      </c>
    </row>
    <row r="16" spans="2:6">
      <c r="C16" s="15" t="s">
        <v>481</v>
      </c>
      <c r="F16" s="13" t="s">
        <v>481</v>
      </c>
    </row>
    <row r="17" spans="3:6">
      <c r="C17" s="15" t="s">
        <v>482</v>
      </c>
      <c r="F17" s="13" t="s">
        <v>482</v>
      </c>
    </row>
    <row r="18" spans="3:6">
      <c r="C18" s="12" t="s">
        <v>67</v>
      </c>
      <c r="F18" s="13" t="s">
        <v>483</v>
      </c>
    </row>
    <row r="19" spans="3:6">
      <c r="C19" s="15" t="s">
        <v>484</v>
      </c>
      <c r="F19" s="12" t="s">
        <v>67</v>
      </c>
    </row>
    <row r="20" spans="3:6">
      <c r="C20" s="12" t="s">
        <v>485</v>
      </c>
      <c r="F20" s="13" t="s">
        <v>486</v>
      </c>
    </row>
    <row r="21" spans="3:6">
      <c r="C21" s="12" t="s">
        <v>46</v>
      </c>
      <c r="F21" s="13" t="s">
        <v>484</v>
      </c>
    </row>
    <row r="22" spans="3:6">
      <c r="C22" s="12" t="s">
        <v>487</v>
      </c>
      <c r="F22" s="12" t="s">
        <v>485</v>
      </c>
    </row>
    <row r="23" spans="3:6">
      <c r="C23" s="12" t="s">
        <v>204</v>
      </c>
      <c r="F23" s="13" t="s">
        <v>488</v>
      </c>
    </row>
    <row r="24" spans="3:6">
      <c r="C24" s="12" t="s">
        <v>489</v>
      </c>
      <c r="F24" s="12" t="s">
        <v>46</v>
      </c>
    </row>
    <row r="25" spans="3:6">
      <c r="C25" s="15" t="s">
        <v>490</v>
      </c>
      <c r="F25" s="12" t="s">
        <v>487</v>
      </c>
    </row>
    <row r="26" spans="3:6">
      <c r="C26" s="12" t="s">
        <v>120</v>
      </c>
      <c r="F26" s="12" t="s">
        <v>204</v>
      </c>
    </row>
    <row r="27" spans="3:6">
      <c r="C27" s="12" t="s">
        <v>101</v>
      </c>
      <c r="F27" s="12" t="s">
        <v>489</v>
      </c>
    </row>
    <row r="28" spans="3:6">
      <c r="C28" s="12" t="s">
        <v>491</v>
      </c>
      <c r="F28" s="13" t="s">
        <v>490</v>
      </c>
    </row>
    <row r="29" spans="3:6">
      <c r="C29" s="14" t="s">
        <v>492</v>
      </c>
      <c r="F29" s="12" t="s">
        <v>120</v>
      </c>
    </row>
    <row r="30" spans="3:6">
      <c r="C30" s="15" t="s">
        <v>493</v>
      </c>
      <c r="F30" s="12" t="s">
        <v>101</v>
      </c>
    </row>
    <row r="31" spans="3:6">
      <c r="C31" s="12" t="s">
        <v>494</v>
      </c>
      <c r="F31" s="12" t="s">
        <v>491</v>
      </c>
    </row>
    <row r="32" spans="3:6">
      <c r="C32" s="15" t="s">
        <v>495</v>
      </c>
      <c r="F32" s="13" t="s">
        <v>493</v>
      </c>
    </row>
    <row r="33" spans="3:6">
      <c r="C33" s="12" t="s">
        <v>496</v>
      </c>
      <c r="F33" s="12" t="s">
        <v>494</v>
      </c>
    </row>
    <row r="34" spans="3:6">
      <c r="C34" s="12" t="s">
        <v>497</v>
      </c>
      <c r="F34" s="13" t="s">
        <v>495</v>
      </c>
    </row>
    <row r="35" spans="3:6">
      <c r="C35" s="12" t="s">
        <v>498</v>
      </c>
      <c r="F35" s="12" t="s">
        <v>496</v>
      </c>
    </row>
    <row r="36" spans="3:6">
      <c r="C36" s="12" t="s">
        <v>499</v>
      </c>
      <c r="F36" s="12" t="s">
        <v>497</v>
      </c>
    </row>
    <row r="37" spans="3:6">
      <c r="C37" s="15" t="s">
        <v>500</v>
      </c>
      <c r="F37" s="12" t="s">
        <v>498</v>
      </c>
    </row>
    <row r="38" spans="3:6">
      <c r="C38" s="15" t="s">
        <v>501</v>
      </c>
      <c r="F38" s="13" t="s">
        <v>500</v>
      </c>
    </row>
    <row r="39" spans="3:6">
      <c r="C39" s="15" t="s">
        <v>502</v>
      </c>
      <c r="F39" s="13" t="s">
        <v>501</v>
      </c>
    </row>
    <row r="40" spans="3:6">
      <c r="C40" s="12" t="s">
        <v>503</v>
      </c>
      <c r="F40" s="13" t="s">
        <v>502</v>
      </c>
    </row>
    <row r="41" spans="3:6">
      <c r="C41" s="15" t="s">
        <v>504</v>
      </c>
      <c r="F41" s="12" t="s">
        <v>503</v>
      </c>
    </row>
    <row r="42" spans="3:6">
      <c r="C42" s="15" t="s">
        <v>505</v>
      </c>
      <c r="F42" s="13" t="s">
        <v>506</v>
      </c>
    </row>
    <row r="43" spans="3:6" ht="15.75" thickBot="1">
      <c r="C43" s="16" t="s">
        <v>117</v>
      </c>
      <c r="F43" s="13" t="s">
        <v>507</v>
      </c>
    </row>
    <row r="44" spans="3:6">
      <c r="F44" s="13" t="s">
        <v>504</v>
      </c>
    </row>
    <row r="45" spans="3:6">
      <c r="F45" s="13" t="s">
        <v>505</v>
      </c>
    </row>
    <row r="46" spans="3:6" ht="15.75" thickBot="1">
      <c r="F46" s="17" t="s">
        <v>508</v>
      </c>
    </row>
  </sheetData>
  <sheetProtection sheet="1" objects="1" scenarios="1" selectLockedCells="1" selectUnlockedCells="1"/>
  <sortState xmlns:xlrd2="http://schemas.microsoft.com/office/spreadsheetml/2017/richdata2" ref="F3:F47">
    <sortCondition ref="F3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2"/>
  <dimension ref="B5:D12"/>
  <sheetViews>
    <sheetView workbookViewId="0">
      <selection activeCell="D8" sqref="D8"/>
    </sheetView>
  </sheetViews>
  <sheetFormatPr defaultColWidth="9.140625" defaultRowHeight="15"/>
  <cols>
    <col min="1" max="1" width="9.140625" style="28"/>
    <col min="2" max="2" width="7.140625" style="28" bestFit="1" customWidth="1"/>
    <col min="3" max="3" width="83.42578125" style="28" bestFit="1" customWidth="1"/>
    <col min="4" max="4" width="8.85546875" style="28" bestFit="1" customWidth="1"/>
    <col min="5" max="16384" width="9.140625" style="28"/>
  </cols>
  <sheetData>
    <row r="5" spans="2:4" ht="25.5">
      <c r="B5" s="26" t="s">
        <v>509</v>
      </c>
      <c r="C5" s="26" t="s">
        <v>510</v>
      </c>
      <c r="D5" s="27" t="s">
        <v>511</v>
      </c>
    </row>
    <row r="6" spans="2:4">
      <c r="B6" s="29">
        <v>3</v>
      </c>
      <c r="C6" s="30"/>
      <c r="D6" s="31"/>
    </row>
    <row r="7" spans="2:4">
      <c r="B7" s="29">
        <v>4</v>
      </c>
      <c r="C7" s="30" t="s">
        <v>512</v>
      </c>
      <c r="D7" s="31" t="s">
        <v>513</v>
      </c>
    </row>
    <row r="8" spans="2:4">
      <c r="B8" s="29">
        <v>4</v>
      </c>
      <c r="C8" s="30" t="s">
        <v>514</v>
      </c>
      <c r="D8" s="31" t="s">
        <v>515</v>
      </c>
    </row>
    <row r="9" spans="2:4">
      <c r="B9" s="29">
        <v>3</v>
      </c>
      <c r="C9" s="30" t="s">
        <v>516</v>
      </c>
      <c r="D9" s="31" t="s">
        <v>517</v>
      </c>
    </row>
    <row r="10" spans="2:4">
      <c r="B10" s="29">
        <v>1</v>
      </c>
      <c r="C10" s="30" t="s">
        <v>518</v>
      </c>
      <c r="D10" s="31" t="s">
        <v>519</v>
      </c>
    </row>
    <row r="11" spans="2:4">
      <c r="B11" s="29">
        <v>1</v>
      </c>
      <c r="C11" s="30" t="s">
        <v>520</v>
      </c>
      <c r="D11" s="31" t="s">
        <v>521</v>
      </c>
    </row>
    <row r="12" spans="2:4">
      <c r="B12" s="29">
        <v>1</v>
      </c>
      <c r="C12" s="30" t="s">
        <v>522</v>
      </c>
      <c r="D12" s="31" t="s">
        <v>523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2691-BA5D-48BD-A3D6-1FD9348FB93A}">
  <dimension ref="A2:G100"/>
  <sheetViews>
    <sheetView showGridLines="0" workbookViewId="0">
      <selection activeCell="F13" sqref="F13"/>
    </sheetView>
  </sheetViews>
  <sheetFormatPr defaultRowHeight="15"/>
  <cols>
    <col min="1" max="1" width="11.140625" customWidth="1"/>
    <col min="2" max="2" width="32.7109375" style="231" customWidth="1"/>
    <col min="3" max="3" width="26.5703125" style="231" customWidth="1"/>
    <col min="4" max="4" width="46.140625" style="231" customWidth="1"/>
    <col min="5" max="5" width="29.42578125" style="231" customWidth="1"/>
    <col min="6" max="6" width="30" style="231" customWidth="1"/>
  </cols>
  <sheetData>
    <row r="2" spans="2:6" ht="18">
      <c r="B2" s="539"/>
      <c r="C2" s="542"/>
      <c r="D2" s="543"/>
      <c r="E2" s="544"/>
      <c r="F2" s="233"/>
    </row>
    <row r="3" spans="2:6" ht="24.75" customHeight="1">
      <c r="B3" s="540"/>
      <c r="C3" s="316" t="s">
        <v>524</v>
      </c>
      <c r="D3" s="317" t="s">
        <v>525</v>
      </c>
      <c r="E3" s="317" t="s">
        <v>526</v>
      </c>
      <c r="F3" s="318" t="s">
        <v>527</v>
      </c>
    </row>
    <row r="4" spans="2:6">
      <c r="B4" s="541"/>
      <c r="C4" s="237"/>
      <c r="D4" s="237"/>
      <c r="E4" s="234" t="s">
        <v>528</v>
      </c>
      <c r="F4" s="235" t="s">
        <v>529</v>
      </c>
    </row>
    <row r="5" spans="2:6">
      <c r="B5" s="244" t="s">
        <v>530</v>
      </c>
      <c r="C5" s="319" t="s">
        <v>531</v>
      </c>
      <c r="D5" s="320" t="s">
        <v>532</v>
      </c>
      <c r="E5" s="236" t="s">
        <v>533</v>
      </c>
      <c r="F5" s="321" t="s">
        <v>534</v>
      </c>
    </row>
    <row r="6" spans="2:6">
      <c r="B6" s="253"/>
      <c r="C6" s="322"/>
      <c r="D6" s="322"/>
      <c r="E6" s="254"/>
      <c r="F6" s="322"/>
    </row>
    <row r="7" spans="2:6">
      <c r="B7" s="536" t="s">
        <v>535</v>
      </c>
      <c r="C7" s="537"/>
      <c r="D7" s="537"/>
      <c r="E7" s="537"/>
      <c r="F7" s="538"/>
    </row>
    <row r="8" spans="2:6" ht="21.75" customHeight="1">
      <c r="B8" s="269" t="s">
        <v>536</v>
      </c>
      <c r="C8" s="270" t="s">
        <v>537</v>
      </c>
      <c r="D8" s="270" t="s">
        <v>538</v>
      </c>
      <c r="E8" s="270" t="s">
        <v>539</v>
      </c>
      <c r="F8" s="271" t="s">
        <v>540</v>
      </c>
    </row>
    <row r="9" spans="2:6">
      <c r="B9" s="267" t="s">
        <v>541</v>
      </c>
      <c r="C9" s="267" t="s">
        <v>542</v>
      </c>
      <c r="D9" s="267" t="s">
        <v>543</v>
      </c>
      <c r="E9" s="267" t="s">
        <v>544</v>
      </c>
      <c r="F9" s="239" t="s">
        <v>542</v>
      </c>
    </row>
    <row r="10" spans="2:6">
      <c r="B10" s="245" t="s">
        <v>545</v>
      </c>
      <c r="C10" s="247">
        <v>46419</v>
      </c>
      <c r="D10" s="245" t="s">
        <v>385</v>
      </c>
      <c r="E10" s="245"/>
      <c r="F10" s="251">
        <v>46389</v>
      </c>
    </row>
    <row r="11" spans="2:6">
      <c r="B11" s="240" t="s">
        <v>546</v>
      </c>
      <c r="C11" s="240" t="s">
        <v>547</v>
      </c>
      <c r="D11" s="240" t="s">
        <v>377</v>
      </c>
      <c r="E11" s="240" t="s">
        <v>548</v>
      </c>
      <c r="F11" s="250" t="s">
        <v>549</v>
      </c>
    </row>
    <row r="12" spans="2:6">
      <c r="B12" s="245" t="s">
        <v>550</v>
      </c>
      <c r="C12" s="247">
        <v>43070</v>
      </c>
      <c r="D12" s="245" t="s">
        <v>551</v>
      </c>
      <c r="E12" s="245" t="s">
        <v>552</v>
      </c>
      <c r="F12" s="251">
        <v>46722</v>
      </c>
    </row>
    <row r="13" spans="2:6">
      <c r="B13" s="263" t="s">
        <v>553</v>
      </c>
      <c r="C13" s="263" t="s">
        <v>554</v>
      </c>
      <c r="D13" s="263" t="s">
        <v>415</v>
      </c>
      <c r="E13" s="263" t="s">
        <v>555</v>
      </c>
      <c r="F13" s="264">
        <v>46722</v>
      </c>
    </row>
    <row r="14" spans="2:6">
      <c r="B14" s="245" t="s">
        <v>556</v>
      </c>
      <c r="C14" s="247">
        <v>46362</v>
      </c>
      <c r="D14" s="245" t="s">
        <v>407</v>
      </c>
      <c r="E14" s="245" t="s">
        <v>557</v>
      </c>
      <c r="F14" s="251">
        <v>46362</v>
      </c>
    </row>
    <row r="15" spans="2:6">
      <c r="B15" s="240" t="s">
        <v>558</v>
      </c>
      <c r="C15" s="240" t="s">
        <v>559</v>
      </c>
      <c r="D15" s="240" t="s">
        <v>560</v>
      </c>
      <c r="E15" s="240" t="s">
        <v>560</v>
      </c>
      <c r="F15" s="250" t="s">
        <v>559</v>
      </c>
    </row>
    <row r="16" spans="2:6">
      <c r="B16" s="245" t="s">
        <v>561</v>
      </c>
      <c r="C16" s="247" t="s">
        <v>562</v>
      </c>
      <c r="D16" s="245">
        <v>188542011</v>
      </c>
      <c r="E16" s="245">
        <v>188542</v>
      </c>
      <c r="F16" s="251" t="s">
        <v>562</v>
      </c>
    </row>
    <row r="17" spans="2:6">
      <c r="B17" s="240" t="s">
        <v>563</v>
      </c>
      <c r="C17" s="240" t="s">
        <v>564</v>
      </c>
      <c r="D17" s="240" t="s">
        <v>372</v>
      </c>
      <c r="E17" s="240"/>
      <c r="F17" s="250" t="s">
        <v>564</v>
      </c>
    </row>
    <row r="18" spans="2:6">
      <c r="B18" s="245" t="s">
        <v>565</v>
      </c>
      <c r="C18" s="247" t="s">
        <v>566</v>
      </c>
      <c r="D18" s="245" t="s">
        <v>567</v>
      </c>
      <c r="E18" s="245">
        <v>276</v>
      </c>
      <c r="F18" s="251">
        <v>46179</v>
      </c>
    </row>
    <row r="19" spans="2:6">
      <c r="B19" s="266" t="s">
        <v>568</v>
      </c>
      <c r="C19" s="265" t="s">
        <v>569</v>
      </c>
      <c r="D19" s="266" t="s">
        <v>373</v>
      </c>
      <c r="E19" s="266" t="s">
        <v>570</v>
      </c>
      <c r="F19" s="268" t="s">
        <v>571</v>
      </c>
    </row>
    <row r="20" spans="2:6">
      <c r="B20" s="545" t="s">
        <v>17</v>
      </c>
      <c r="C20" s="546"/>
      <c r="D20" s="546"/>
      <c r="E20" s="546"/>
      <c r="F20" s="547"/>
    </row>
    <row r="21" spans="2:6" ht="21" customHeight="1">
      <c r="B21" s="258" t="s">
        <v>572</v>
      </c>
      <c r="C21" s="243" t="s">
        <v>433</v>
      </c>
      <c r="D21" s="243" t="s">
        <v>538</v>
      </c>
      <c r="E21" s="243" t="s">
        <v>539</v>
      </c>
      <c r="F21" s="259" t="s">
        <v>540</v>
      </c>
    </row>
    <row r="22" spans="2:6">
      <c r="B22" s="267" t="s">
        <v>573</v>
      </c>
      <c r="C22" s="267"/>
      <c r="D22" s="267" t="s">
        <v>574</v>
      </c>
      <c r="E22" s="267" t="s">
        <v>575</v>
      </c>
      <c r="F22" s="239" t="s">
        <v>576</v>
      </c>
    </row>
    <row r="23" spans="2:6">
      <c r="B23" s="245" t="s">
        <v>271</v>
      </c>
      <c r="C23" s="247">
        <v>46063</v>
      </c>
      <c r="D23" s="245" t="s">
        <v>577</v>
      </c>
      <c r="E23" s="245" t="s">
        <v>578</v>
      </c>
      <c r="F23" s="251">
        <v>46032</v>
      </c>
    </row>
    <row r="24" spans="2:6">
      <c r="B24" s="240" t="s">
        <v>579</v>
      </c>
      <c r="C24" s="247" t="s">
        <v>580</v>
      </c>
      <c r="D24" s="240" t="s">
        <v>581</v>
      </c>
      <c r="E24" s="240" t="s">
        <v>250</v>
      </c>
      <c r="F24" s="250" t="s">
        <v>250</v>
      </c>
    </row>
    <row r="25" spans="2:6">
      <c r="B25" s="245" t="s">
        <v>222</v>
      </c>
      <c r="C25" s="247"/>
      <c r="D25" s="245" t="s">
        <v>582</v>
      </c>
      <c r="E25" s="245" t="s">
        <v>250</v>
      </c>
      <c r="F25" s="251" t="s">
        <v>250</v>
      </c>
    </row>
    <row r="26" spans="2:6">
      <c r="B26" s="240" t="s">
        <v>583</v>
      </c>
      <c r="C26" s="240"/>
      <c r="D26" s="240" t="s">
        <v>584</v>
      </c>
      <c r="E26" s="240"/>
      <c r="F26" s="250"/>
    </row>
    <row r="27" spans="2:6">
      <c r="B27" s="245" t="s">
        <v>585</v>
      </c>
      <c r="C27" s="247" t="s">
        <v>250</v>
      </c>
      <c r="D27" s="245" t="s">
        <v>586</v>
      </c>
      <c r="E27" s="245" t="s">
        <v>250</v>
      </c>
      <c r="F27" s="251" t="s">
        <v>250</v>
      </c>
    </row>
    <row r="28" spans="2:6">
      <c r="B28" s="240" t="s">
        <v>587</v>
      </c>
      <c r="C28" s="240" t="s">
        <v>250</v>
      </c>
      <c r="D28" s="240" t="s">
        <v>588</v>
      </c>
      <c r="E28" s="240" t="s">
        <v>250</v>
      </c>
      <c r="F28" s="250" t="s">
        <v>250</v>
      </c>
    </row>
    <row r="29" spans="2:6">
      <c r="B29" s="272" t="s">
        <v>255</v>
      </c>
      <c r="C29" s="248"/>
      <c r="D29" s="246" t="s">
        <v>589</v>
      </c>
      <c r="E29" s="246"/>
      <c r="F29" s="252"/>
    </row>
    <row r="30" spans="2:6">
      <c r="B30" s="535" t="s">
        <v>590</v>
      </c>
      <c r="C30" s="535"/>
      <c r="D30" s="535"/>
      <c r="E30" s="535"/>
      <c r="F30" s="535"/>
    </row>
    <row r="31" spans="2:6" s="241" customFormat="1" ht="23.25" customHeight="1">
      <c r="B31" s="255" t="s">
        <v>572</v>
      </c>
      <c r="C31" s="256" t="s">
        <v>591</v>
      </c>
      <c r="D31" s="256" t="s">
        <v>326</v>
      </c>
      <c r="E31" s="256" t="s">
        <v>435</v>
      </c>
      <c r="F31" s="257" t="s">
        <v>592</v>
      </c>
    </row>
    <row r="32" spans="2:6">
      <c r="B32" s="240" t="s">
        <v>593</v>
      </c>
      <c r="C32" s="240"/>
      <c r="D32" s="240" t="s">
        <v>594</v>
      </c>
      <c r="E32" s="240"/>
      <c r="F32" s="250"/>
    </row>
    <row r="33" spans="1:7">
      <c r="B33" s="245" t="s">
        <v>595</v>
      </c>
      <c r="C33" s="247"/>
      <c r="D33" s="245" t="s">
        <v>596</v>
      </c>
      <c r="E33" s="245"/>
      <c r="F33" s="251"/>
    </row>
    <row r="34" spans="1:7">
      <c r="B34" s="240" t="s">
        <v>597</v>
      </c>
      <c r="C34" s="240"/>
      <c r="D34" s="240" t="s">
        <v>598</v>
      </c>
      <c r="E34" s="240"/>
      <c r="F34" s="250"/>
    </row>
    <row r="35" spans="1:7">
      <c r="B35" s="245" t="s">
        <v>599</v>
      </c>
      <c r="C35" s="247"/>
      <c r="D35" s="245" t="s">
        <v>600</v>
      </c>
      <c r="E35" s="245"/>
      <c r="F35" s="251"/>
    </row>
    <row r="36" spans="1:7">
      <c r="B36" s="240" t="s">
        <v>601</v>
      </c>
      <c r="C36" s="240"/>
      <c r="D36" s="240" t="s">
        <v>598</v>
      </c>
      <c r="E36" s="240"/>
      <c r="F36" s="250"/>
    </row>
    <row r="37" spans="1:7">
      <c r="B37" s="245" t="s">
        <v>171</v>
      </c>
      <c r="C37" s="247"/>
      <c r="D37" s="245" t="s">
        <v>602</v>
      </c>
      <c r="E37" s="245"/>
      <c r="F37" s="251"/>
    </row>
    <row r="38" spans="1:7">
      <c r="B38" s="240" t="s">
        <v>603</v>
      </c>
      <c r="C38" s="240"/>
      <c r="D38" s="240" t="s">
        <v>596</v>
      </c>
      <c r="E38" s="240" t="s">
        <v>604</v>
      </c>
      <c r="F38" s="250"/>
    </row>
    <row r="39" spans="1:7">
      <c r="B39" s="245" t="s">
        <v>605</v>
      </c>
      <c r="C39" s="247"/>
      <c r="D39" s="245" t="s">
        <v>606</v>
      </c>
      <c r="E39" s="245"/>
      <c r="F39" s="251"/>
    </row>
    <row r="40" spans="1:7">
      <c r="B40" s="535" t="s">
        <v>607</v>
      </c>
      <c r="C40" s="535"/>
      <c r="D40" s="535"/>
      <c r="E40" s="535"/>
      <c r="F40" s="535"/>
    </row>
    <row r="41" spans="1:7" ht="22.5" customHeight="1">
      <c r="A41" s="241"/>
      <c r="B41" s="258" t="s">
        <v>572</v>
      </c>
      <c r="C41" s="243" t="s">
        <v>591</v>
      </c>
      <c r="D41" s="243" t="s">
        <v>326</v>
      </c>
      <c r="E41" s="243" t="s">
        <v>435</v>
      </c>
      <c r="F41" s="259" t="s">
        <v>592</v>
      </c>
      <c r="G41" s="241"/>
    </row>
    <row r="42" spans="1:7">
      <c r="B42" s="239" t="s">
        <v>608</v>
      </c>
      <c r="C42" s="239"/>
      <c r="D42" s="239" t="s">
        <v>609</v>
      </c>
      <c r="E42" s="239"/>
      <c r="F42" s="239"/>
    </row>
    <row r="43" spans="1:7">
      <c r="B43" s="249" t="s">
        <v>610</v>
      </c>
      <c r="C43" s="249"/>
      <c r="D43" s="249" t="s">
        <v>609</v>
      </c>
      <c r="E43" s="249"/>
      <c r="F43" s="249"/>
    </row>
    <row r="44" spans="1:7">
      <c r="B44" s="249" t="s">
        <v>611</v>
      </c>
      <c r="C44" s="249"/>
      <c r="D44" s="249" t="s">
        <v>612</v>
      </c>
      <c r="E44" s="249"/>
      <c r="F44" s="249"/>
    </row>
    <row r="45" spans="1:7">
      <c r="B45" s="250" t="s">
        <v>613</v>
      </c>
      <c r="C45" s="250"/>
      <c r="D45" s="250" t="s">
        <v>614</v>
      </c>
      <c r="E45" s="250"/>
      <c r="F45" s="250"/>
    </row>
    <row r="46" spans="1:7">
      <c r="B46" s="249" t="s">
        <v>615</v>
      </c>
      <c r="C46" s="249"/>
      <c r="D46" s="249" t="s">
        <v>616</v>
      </c>
      <c r="E46" s="249"/>
      <c r="F46" s="249"/>
    </row>
    <row r="47" spans="1:7">
      <c r="B47" s="250" t="s">
        <v>617</v>
      </c>
      <c r="C47" s="250"/>
      <c r="D47" s="250" t="s">
        <v>618</v>
      </c>
      <c r="E47" s="250"/>
      <c r="F47" s="250"/>
    </row>
    <row r="48" spans="1:7">
      <c r="B48" s="249" t="s">
        <v>619</v>
      </c>
      <c r="C48" s="249"/>
      <c r="D48" s="249" t="s">
        <v>620</v>
      </c>
      <c r="E48" s="249"/>
      <c r="F48" s="249"/>
    </row>
    <row r="49" spans="2:6">
      <c r="B49" s="250" t="s">
        <v>621</v>
      </c>
      <c r="C49" s="250"/>
      <c r="D49" s="250" t="s">
        <v>622</v>
      </c>
      <c r="E49" s="250"/>
      <c r="F49" s="250"/>
    </row>
    <row r="50" spans="2:6">
      <c r="B50" s="249" t="s">
        <v>623</v>
      </c>
      <c r="C50" s="249"/>
      <c r="D50" s="249" t="s">
        <v>624</v>
      </c>
      <c r="E50" s="249"/>
      <c r="F50" s="249"/>
    </row>
    <row r="51" spans="2:6">
      <c r="B51" s="243" t="s">
        <v>625</v>
      </c>
      <c r="C51" s="243"/>
      <c r="D51" s="243" t="s">
        <v>626</v>
      </c>
      <c r="E51" s="243"/>
      <c r="F51" s="243"/>
    </row>
    <row r="52" spans="2:6">
      <c r="B52" s="250" t="s">
        <v>627</v>
      </c>
      <c r="C52" s="250"/>
      <c r="D52" s="250" t="s">
        <v>628</v>
      </c>
      <c r="E52" s="250"/>
      <c r="F52" s="250"/>
    </row>
    <row r="53" spans="2:6">
      <c r="B53" s="249" t="s">
        <v>629</v>
      </c>
      <c r="C53" s="249"/>
      <c r="D53" s="249" t="s">
        <v>276</v>
      </c>
      <c r="E53" s="249"/>
      <c r="F53" s="249"/>
    </row>
    <row r="54" spans="2:6">
      <c r="B54" s="249" t="s">
        <v>87</v>
      </c>
      <c r="C54" s="249"/>
      <c r="D54" s="249" t="s">
        <v>630</v>
      </c>
      <c r="E54" s="249"/>
      <c r="F54" s="249"/>
    </row>
    <row r="55" spans="2:6">
      <c r="B55" s="250" t="s">
        <v>631</v>
      </c>
      <c r="C55" s="250"/>
      <c r="D55" s="250" t="s">
        <v>632</v>
      </c>
      <c r="E55" s="250"/>
      <c r="F55" s="250"/>
    </row>
    <row r="56" spans="2:6">
      <c r="B56" s="249" t="s">
        <v>633</v>
      </c>
      <c r="C56" s="249"/>
      <c r="D56" s="249" t="s">
        <v>634</v>
      </c>
      <c r="E56" s="249"/>
      <c r="F56" s="249"/>
    </row>
    <row r="57" spans="2:6">
      <c r="B57" s="250" t="s">
        <v>635</v>
      </c>
      <c r="C57" s="250"/>
      <c r="D57" s="260" t="s">
        <v>636</v>
      </c>
      <c r="E57" s="250"/>
      <c r="F57" s="250"/>
    </row>
    <row r="58" spans="2:6">
      <c r="B58" s="249" t="s">
        <v>637</v>
      </c>
      <c r="C58" s="249"/>
      <c r="D58" s="249" t="s">
        <v>638</v>
      </c>
      <c r="E58" s="249"/>
      <c r="F58" s="249"/>
    </row>
    <row r="59" spans="2:6">
      <c r="B59" s="238" t="s">
        <v>639</v>
      </c>
      <c r="C59" s="238"/>
      <c r="D59" s="238" t="s">
        <v>640</v>
      </c>
      <c r="E59" s="238"/>
      <c r="F59" s="238"/>
    </row>
    <row r="60" spans="2:6">
      <c r="B60" s="548" t="s">
        <v>641</v>
      </c>
      <c r="C60" s="548"/>
      <c r="D60" s="548"/>
      <c r="E60" s="548"/>
      <c r="F60" s="548"/>
    </row>
    <row r="61" spans="2:6" s="241" customFormat="1" ht="20.25" customHeight="1">
      <c r="B61" s="242" t="s">
        <v>572</v>
      </c>
      <c r="C61" s="242" t="s">
        <v>591</v>
      </c>
      <c r="D61" s="242" t="s">
        <v>326</v>
      </c>
      <c r="E61" s="242" t="s">
        <v>435</v>
      </c>
      <c r="F61" s="242" t="s">
        <v>592</v>
      </c>
    </row>
    <row r="62" spans="2:6">
      <c r="B62" s="239" t="s">
        <v>642</v>
      </c>
      <c r="C62" s="239"/>
      <c r="D62" s="239" t="s">
        <v>643</v>
      </c>
      <c r="E62" s="239"/>
      <c r="F62" s="239"/>
    </row>
    <row r="63" spans="2:6">
      <c r="B63" s="249" t="s">
        <v>644</v>
      </c>
      <c r="C63" s="249"/>
      <c r="D63" s="249" t="s">
        <v>645</v>
      </c>
      <c r="E63" s="249"/>
      <c r="F63" s="249"/>
    </row>
    <row r="64" spans="2:6">
      <c r="B64" s="250" t="s">
        <v>646</v>
      </c>
      <c r="C64" s="250"/>
      <c r="D64" s="250" t="s">
        <v>647</v>
      </c>
      <c r="E64" s="250"/>
      <c r="F64" s="250"/>
    </row>
    <row r="65" spans="2:6">
      <c r="B65" s="249" t="s">
        <v>648</v>
      </c>
      <c r="C65" s="249"/>
      <c r="D65" s="249" t="s">
        <v>649</v>
      </c>
      <c r="E65" s="249"/>
      <c r="F65" s="249"/>
    </row>
    <row r="66" spans="2:6">
      <c r="B66" s="238" t="s">
        <v>648</v>
      </c>
      <c r="C66" s="238"/>
      <c r="D66" s="238" t="s">
        <v>650</v>
      </c>
      <c r="E66" s="238"/>
      <c r="F66" s="238"/>
    </row>
    <row r="67" spans="2:6">
      <c r="B67" s="535" t="s">
        <v>651</v>
      </c>
      <c r="C67" s="535"/>
      <c r="D67" s="535"/>
      <c r="E67" s="535"/>
      <c r="F67" s="535"/>
    </row>
    <row r="68" spans="2:6" s="241" customFormat="1" ht="21" customHeight="1">
      <c r="B68" s="258" t="s">
        <v>572</v>
      </c>
      <c r="C68" s="243" t="s">
        <v>591</v>
      </c>
      <c r="D68" s="243" t="s">
        <v>326</v>
      </c>
      <c r="E68" s="243" t="s">
        <v>435</v>
      </c>
      <c r="F68" s="259" t="s">
        <v>592</v>
      </c>
    </row>
    <row r="69" spans="2:6">
      <c r="B69" s="239"/>
      <c r="C69" s="239"/>
      <c r="D69" s="239" t="s">
        <v>652</v>
      </c>
      <c r="E69" s="239" t="s">
        <v>604</v>
      </c>
      <c r="F69" s="239"/>
    </row>
    <row r="70" spans="2:6">
      <c r="B70" s="249" t="s">
        <v>653</v>
      </c>
      <c r="C70" s="249"/>
      <c r="D70" s="249" t="s">
        <v>654</v>
      </c>
      <c r="E70" s="249"/>
      <c r="F70" s="249"/>
    </row>
    <row r="71" spans="2:6">
      <c r="B71" s="250" t="s">
        <v>655</v>
      </c>
      <c r="C71" s="250"/>
      <c r="D71" s="250" t="s">
        <v>656</v>
      </c>
      <c r="E71" s="250"/>
      <c r="F71" s="250"/>
    </row>
    <row r="72" spans="2:6">
      <c r="B72" s="249" t="s">
        <v>657</v>
      </c>
      <c r="C72" s="249"/>
      <c r="D72" s="249" t="s">
        <v>658</v>
      </c>
      <c r="E72" s="249"/>
      <c r="F72" s="249"/>
    </row>
    <row r="73" spans="2:6">
      <c r="B73" s="250" t="s">
        <v>604</v>
      </c>
      <c r="C73" s="250"/>
      <c r="D73" s="250" t="s">
        <v>659</v>
      </c>
      <c r="E73" s="250"/>
      <c r="F73" s="250"/>
    </row>
    <row r="74" spans="2:6">
      <c r="B74" s="249" t="s">
        <v>37</v>
      </c>
      <c r="C74" s="249"/>
      <c r="D74" s="249" t="s">
        <v>660</v>
      </c>
      <c r="E74" s="249"/>
      <c r="F74" s="249"/>
    </row>
    <row r="75" spans="2:6">
      <c r="B75" s="249" t="s">
        <v>37</v>
      </c>
      <c r="C75" s="250"/>
      <c r="D75" s="250" t="s">
        <v>661</v>
      </c>
      <c r="E75" s="250"/>
      <c r="F75" s="250"/>
    </row>
    <row r="76" spans="2:6">
      <c r="B76" s="249"/>
      <c r="C76" s="249"/>
      <c r="D76" s="249" t="s">
        <v>662</v>
      </c>
      <c r="E76" s="249"/>
      <c r="F76" s="249"/>
    </row>
    <row r="77" spans="2:6">
      <c r="B77" s="535" t="s">
        <v>663</v>
      </c>
      <c r="C77" s="535"/>
      <c r="D77" s="535"/>
      <c r="E77" s="535"/>
      <c r="F77" s="535"/>
    </row>
    <row r="78" spans="2:6" ht="24.75" customHeight="1">
      <c r="B78" s="242" t="s">
        <v>572</v>
      </c>
      <c r="C78" s="242" t="s">
        <v>591</v>
      </c>
      <c r="D78" s="242" t="s">
        <v>326</v>
      </c>
      <c r="E78" s="242" t="s">
        <v>435</v>
      </c>
      <c r="F78" s="242" t="s">
        <v>592</v>
      </c>
    </row>
    <row r="79" spans="2:6">
      <c r="B79" s="261" t="s">
        <v>664</v>
      </c>
      <c r="C79" s="261"/>
      <c r="D79" s="261" t="s">
        <v>665</v>
      </c>
      <c r="E79" s="261"/>
      <c r="F79" s="261"/>
    </row>
    <row r="80" spans="2:6">
      <c r="B80" s="250">
        <v>20348</v>
      </c>
      <c r="C80" s="250"/>
      <c r="D80" s="250" t="s">
        <v>666</v>
      </c>
      <c r="E80" s="250"/>
      <c r="F80" s="250"/>
    </row>
    <row r="81" spans="2:6">
      <c r="B81" s="249"/>
      <c r="C81" s="249"/>
      <c r="D81" s="249" t="s">
        <v>667</v>
      </c>
      <c r="E81" s="249"/>
      <c r="F81" s="249"/>
    </row>
    <row r="82" spans="2:6">
      <c r="B82" s="250"/>
      <c r="C82" s="250"/>
      <c r="D82" s="250" t="s">
        <v>668</v>
      </c>
      <c r="E82" s="250"/>
      <c r="F82" s="250"/>
    </row>
    <row r="83" spans="2:6">
      <c r="B83" s="249"/>
      <c r="C83" s="249"/>
      <c r="D83" s="249" t="s">
        <v>669</v>
      </c>
      <c r="E83" s="249"/>
      <c r="F83" s="249"/>
    </row>
    <row r="84" spans="2:6">
      <c r="B84" s="250"/>
      <c r="C84" s="250"/>
      <c r="D84" s="250" t="s">
        <v>670</v>
      </c>
      <c r="E84" s="250"/>
      <c r="F84" s="250"/>
    </row>
    <row r="85" spans="2:6">
      <c r="B85" s="262"/>
      <c r="C85" s="262"/>
      <c r="D85" s="262" t="s">
        <v>671</v>
      </c>
      <c r="E85" s="262"/>
      <c r="F85" s="262"/>
    </row>
    <row r="86" spans="2:6">
      <c r="B86" s="548" t="s">
        <v>60</v>
      </c>
      <c r="C86" s="548"/>
      <c r="D86" s="548"/>
      <c r="E86" s="548"/>
      <c r="F86" s="548"/>
    </row>
    <row r="87" spans="2:6">
      <c r="B87" s="242" t="s">
        <v>572</v>
      </c>
      <c r="C87" s="242" t="s">
        <v>591</v>
      </c>
      <c r="D87" s="242" t="s">
        <v>326</v>
      </c>
      <c r="E87" s="242" t="s">
        <v>435</v>
      </c>
      <c r="F87" s="242" t="s">
        <v>592</v>
      </c>
    </row>
    <row r="88" spans="2:6">
      <c r="B88" s="239" t="s">
        <v>672</v>
      </c>
      <c r="C88" s="239"/>
      <c r="D88" s="239" t="s">
        <v>673</v>
      </c>
      <c r="E88" s="239"/>
      <c r="F88" s="239"/>
    </row>
    <row r="89" spans="2:6">
      <c r="B89" s="249" t="s">
        <v>69</v>
      </c>
      <c r="C89" s="249"/>
      <c r="D89" s="249" t="s">
        <v>674</v>
      </c>
      <c r="E89" s="249"/>
      <c r="F89" s="249"/>
    </row>
    <row r="90" spans="2:6">
      <c r="B90" s="238" t="s">
        <v>72</v>
      </c>
      <c r="C90" s="238"/>
      <c r="D90" s="238" t="s">
        <v>675</v>
      </c>
      <c r="E90" s="238"/>
      <c r="F90" s="238"/>
    </row>
    <row r="91" spans="2:6">
      <c r="B91" s="535" t="s">
        <v>108</v>
      </c>
      <c r="C91" s="535"/>
      <c r="D91" s="535"/>
      <c r="E91" s="535"/>
      <c r="F91" s="535"/>
    </row>
    <row r="92" spans="2:6">
      <c r="B92" s="242" t="s">
        <v>572</v>
      </c>
      <c r="C92" s="242" t="s">
        <v>591</v>
      </c>
      <c r="D92" s="242" t="s">
        <v>326</v>
      </c>
      <c r="E92" s="242" t="s">
        <v>435</v>
      </c>
      <c r="F92" s="242" t="s">
        <v>592</v>
      </c>
    </row>
    <row r="93" spans="2:6">
      <c r="B93" s="261" t="s">
        <v>37</v>
      </c>
      <c r="C93" s="261"/>
      <c r="D93" s="261" t="s">
        <v>676</v>
      </c>
      <c r="E93" s="261"/>
      <c r="F93" s="261"/>
    </row>
    <row r="94" spans="2:6">
      <c r="B94" s="250" t="s">
        <v>677</v>
      </c>
      <c r="C94" s="250"/>
      <c r="D94" s="250" t="s">
        <v>106</v>
      </c>
      <c r="E94" s="250"/>
      <c r="F94" s="250"/>
    </row>
    <row r="95" spans="2:6">
      <c r="B95" s="249" t="s">
        <v>109</v>
      </c>
      <c r="C95" s="249"/>
      <c r="D95" s="249" t="s">
        <v>678</v>
      </c>
      <c r="E95" s="249"/>
      <c r="F95" s="249"/>
    </row>
    <row r="96" spans="2:6">
      <c r="B96" s="250" t="s">
        <v>679</v>
      </c>
      <c r="C96" s="250"/>
      <c r="D96" s="250" t="s">
        <v>680</v>
      </c>
      <c r="E96" s="250"/>
      <c r="F96" s="250"/>
    </row>
    <row r="97" spans="2:6">
      <c r="B97" s="249" t="s">
        <v>391</v>
      </c>
      <c r="C97" s="249"/>
      <c r="D97" s="249" t="s">
        <v>27</v>
      </c>
      <c r="E97" s="249"/>
      <c r="F97" s="249"/>
    </row>
    <row r="98" spans="2:6">
      <c r="B98" s="249" t="s">
        <v>681</v>
      </c>
      <c r="C98" s="249"/>
      <c r="D98" s="249" t="s">
        <v>682</v>
      </c>
      <c r="E98" s="249"/>
      <c r="F98" s="249"/>
    </row>
    <row r="99" spans="2:6">
      <c r="B99" s="250" t="s">
        <v>296</v>
      </c>
      <c r="C99" s="250"/>
      <c r="D99" s="250" t="s">
        <v>683</v>
      </c>
      <c r="E99" s="250"/>
      <c r="F99" s="250"/>
    </row>
    <row r="100" spans="2:6">
      <c r="B100" s="262" t="s">
        <v>115</v>
      </c>
      <c r="C100" s="262"/>
      <c r="D100" s="262" t="s">
        <v>684</v>
      </c>
      <c r="E100" s="262"/>
      <c r="F100" s="262" t="s">
        <v>685</v>
      </c>
    </row>
  </sheetData>
  <mergeCells count="11">
    <mergeCell ref="B91:F91"/>
    <mergeCell ref="B7:F7"/>
    <mergeCell ref="B2:B4"/>
    <mergeCell ref="C2:E2"/>
    <mergeCell ref="B20:F20"/>
    <mergeCell ref="B86:F86"/>
    <mergeCell ref="B30:F30"/>
    <mergeCell ref="B40:F40"/>
    <mergeCell ref="B60:F60"/>
    <mergeCell ref="B67:F67"/>
    <mergeCell ref="B77:F77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DAA7433678945941D54C403178C4C" ma:contentTypeVersion="16" ma:contentTypeDescription="Create a new document." ma:contentTypeScope="" ma:versionID="0c82b9adad39d7f313f299a05e521332">
  <xsd:schema xmlns:xsd="http://www.w3.org/2001/XMLSchema" xmlns:xs="http://www.w3.org/2001/XMLSchema" xmlns:p="http://schemas.microsoft.com/office/2006/metadata/properties" xmlns:ns2="aba12dad-9863-4f71-bde8-97e40b9b3d99" xmlns:ns3="78a2e8eb-3172-4c75-b438-941b6afd5ac3" targetNamespace="http://schemas.microsoft.com/office/2006/metadata/properties" ma:root="true" ma:fieldsID="d12e5d71e2b3b8a61f0692a28010f147" ns2:_="" ns3:_="">
    <xsd:import namespace="aba12dad-9863-4f71-bde8-97e40b9b3d99"/>
    <xsd:import namespace="78a2e8eb-3172-4c75-b438-941b6afd5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12dad-9863-4f71-bde8-97e40b9b3d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57a5ef2-ccd9-450d-814a-721f2f822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2e8eb-3172-4c75-b438-941b6afd5a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06a2ad-071d-490f-ab38-32435e76de0a}" ma:internalName="TaxCatchAll" ma:showField="CatchAllData" ma:web="78a2e8eb-3172-4c75-b438-941b6afd5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a2e8eb-3172-4c75-b438-941b6afd5ac3" xsi:nil="true"/>
    <lcf76f155ced4ddcb4097134ff3c332f xmlns="aba12dad-9863-4f71-bde8-97e40b9b3d9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1E6C1A-D9D0-4024-960E-355DD0B52A49}"/>
</file>

<file path=customXml/itemProps2.xml><?xml version="1.0" encoding="utf-8"?>
<ds:datastoreItem xmlns:ds="http://schemas.openxmlformats.org/officeDocument/2006/customXml" ds:itemID="{EB1F1DD1-CB4F-47F5-BA52-BB453FD67A47}"/>
</file>

<file path=customXml/itemProps3.xml><?xml version="1.0" encoding="utf-8"?>
<ds:datastoreItem xmlns:ds="http://schemas.openxmlformats.org/officeDocument/2006/customXml" ds:itemID="{C86D0977-E3B4-4E4C-AD1E-806005023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Mendonca</dc:creator>
  <cp:keywords/>
  <dc:description/>
  <cp:lastModifiedBy>Bruno Andrade</cp:lastModifiedBy>
  <cp:revision/>
  <dcterms:created xsi:type="dcterms:W3CDTF">2019-02-19T14:15:50Z</dcterms:created>
  <dcterms:modified xsi:type="dcterms:W3CDTF">2026-03-13T23:20:41Z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0x010100AD6DAA7433678945941D54C403178C4C</vt:lpwstr>
  </property>
  <property fmtid="{D5CDD505-2E9C-101B-9397-08002B2CF9AE}" pid="3" name="MediaServiceImageTags">
    <vt:lpwstr/>
  </property>
  <property fmtid="{D5CDD505-2E9C-101B-9397-08002B2CF9AE}" pid="4" name="MSIP_Label_140b9f7d-8e3a-482f-9702-4b7ffc40985a_Enabled">
    <vt:lpwstr>true</vt:lpwstr>
  </property>
  <property fmtid="{D5CDD505-2E9C-101B-9397-08002B2CF9AE}" pid="5" name="MSIP_Label_140b9f7d-8e3a-482f-9702-4b7ffc40985a_SetDate">
    <vt:lpwstr>2023-06-22T05:06:43Z</vt:lpwstr>
  </property>
  <property fmtid="{D5CDD505-2E9C-101B-9397-08002B2CF9AE}" pid="6" name="MSIP_Label_140b9f7d-8e3a-482f-9702-4b7ffc40985a_Method">
    <vt:lpwstr>Privileged</vt:lpwstr>
  </property>
  <property fmtid="{D5CDD505-2E9C-101B-9397-08002B2CF9AE}" pid="7" name="MSIP_Label_140b9f7d-8e3a-482f-9702-4b7ffc40985a_Name">
    <vt:lpwstr>Pública</vt:lpwstr>
  </property>
  <property fmtid="{D5CDD505-2E9C-101B-9397-08002B2CF9AE}" pid="8" name="MSIP_Label_140b9f7d-8e3a-482f-9702-4b7ffc40985a_SiteId">
    <vt:lpwstr>5b6f6241-9a57-4be4-8e50-1dfa72e79a57</vt:lpwstr>
  </property>
  <property fmtid="{D5CDD505-2E9C-101B-9397-08002B2CF9AE}" pid="9" name="MSIP_Label_140b9f7d-8e3a-482f-9702-4b7ffc40985a_ActionId">
    <vt:lpwstr>cd1c30e7-92b6-44d7-8451-d2ca9c572b73</vt:lpwstr>
  </property>
  <property fmtid="{D5CDD505-2E9C-101B-9397-08002B2CF9AE}" pid="10" name="MSIP_Label_140b9f7d-8e3a-482f-9702-4b7ffc40985a_ContentBits">
    <vt:lpwstr>2</vt:lpwstr>
  </property>
</Properties>
</file>